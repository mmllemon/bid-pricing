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1ca5c6da6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表" sheetId="1" r:id="R1ff5797726234a10"/>
    <x:sheet xmlns:r="http://schemas.openxmlformats.org/officeDocument/2006/relationships" name="不可竞争项" sheetId="2" r:id="R5e867013aee8432d"/>
    <x:sheet xmlns:r="http://schemas.openxmlformats.org/officeDocument/2006/relationships" name="固定项" sheetId="3" r:id="R015c9c74790e4db5"/>
    <x:sheet xmlns:r="http://schemas.openxmlformats.org/officeDocument/2006/relationships" name="说明" sheetId="4" r:id="Rcd2fe5ca8917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3" borderId="2" xfId="0" applyNumberFormat="1" applyFont="1" applyFill="1" applyBorder="1"/>
    <x:xf numFmtId="201" fontId="1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201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278cf2eca4e14" /><Relationship Type="http://schemas.openxmlformats.org/officeDocument/2006/relationships/theme" Target="/xl/theme/theme1.xml" Id="R8029ba6c4d024f0a" /><Relationship Type="http://schemas.openxmlformats.org/officeDocument/2006/relationships/sharedStrings" Target="/xl/sharedStrings.xml" Id="R4d72c9f153284da8" /><Relationship Type="http://schemas.openxmlformats.org/officeDocument/2006/relationships/worksheet" Target="/xl/worksheets/sheet1.xml" Id="R1ff5797726234a10" /><Relationship Type="http://schemas.openxmlformats.org/officeDocument/2006/relationships/worksheet" Target="/xl/worksheets/sheet2.xml" Id="R5e867013aee8432d" /><Relationship Type="http://schemas.openxmlformats.org/officeDocument/2006/relationships/worksheet" Target="/xl/worksheets/sheet3.xml" Id="R015c9c74790e4db5" /><Relationship Type="http://schemas.openxmlformats.org/officeDocument/2006/relationships/worksheet" Target="/xl/worksheets/sheet4.xml" Id="Rcd2fe5ca89174f34" /></Relationships>
</file>

<file path=xl/tables/table1.xml><?xml version="1.0" encoding="utf-8"?>
<x:table xmlns:x="http://schemas.openxmlformats.org/spreadsheetml/2006/main" id="1" name="QuoteTable" displayName="QuoteTable" ref="A10:O92" headerRowCount="1" totalsRowCount="0" totalsRowShown="0">
  <x:tableColumns count="15">
    <x:tableColumn id="1" name="Item ID"/>
    <x:tableColumn id="2" name="项目名称"/>
    <x:tableColumn id="3" name="单位"/>
    <x:tableColumn id="4" name="工程量 q0"/>
    <x:tableColumn id="5" name="最高限价"/>
    <x:tableColumn id="6" name="估算单项成本 c_i"/>
    <x:tableColumn id="7" name="投标单价"/>
    <x:tableColumn id="8" name="投标合价"/>
    <x:tableColumn id="9" name="成本合价"/>
    <x:tableColumn id="10" name="单项毛利"/>
    <x:tableColumn id="11" name="毛利率"/>
    <x:tableColumn id="12" name="r_eff"/>
    <x:tableColumn id="13" name="层归属"/>
    <x:tableColumn id="14" name="状态"/>
    <x:tableColumn id="15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4:H5" headerRowCount="1" totalsRowCount="0" totalsRowShown="0">
  <x:tableColumns count="8">
    <x:tableColumn id="1" name="Item ID"/>
    <x:tableColumn id="2" name="项目名称"/>
    <x:tableColumn id="3" name="单位"/>
    <x:tableColumn id="4" name="工程量 q0"/>
    <x:tableColumn id="5" name="最高限价"/>
    <x:tableColumn id="6" name="估算单项成本 c_i"/>
    <x:tableColumn id="7" name="状态"/>
    <x:tableColumn id="8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4:H5" headerRowCount="1" totalsRowCount="0" totalsRowShown="0">
  <x:tableColumns count="8">
    <x:tableColumn id="1" name="Item ID"/>
    <x:tableColumn id="2" name="项目名称"/>
    <x:tableColumn id="3" name="单位"/>
    <x:tableColumn id="4" name="工程量 q0"/>
    <x:tableColumn id="5" name="最高限价"/>
    <x:tableColumn id="6" name="估算单项成本 c_i"/>
    <x:tableColumn id="7" name="状态"/>
    <x:tableColumn id="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d889c03d4c4d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ccb7fe06d341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7e72a7f7ef47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6.380000114440918" hidden="0" customWidth="1"/>
    <x:col min="4" max="4" width="10.5" hidden="0" customWidth="1"/>
    <x:col min="5" max="5" width="9.75" hidden="0" customWidth="1"/>
    <x:col min="6" max="6" width="15.880000114440918" hidden="0" customWidth="1"/>
    <x:col min="7" max="7" width="9.75" hidden="0" customWidth="1"/>
    <x:col min="8" max="8" width="9.75" hidden="0" customWidth="1"/>
    <x:col min="9" max="9" width="9.75" hidden="0" customWidth="1"/>
    <x:col min="10" max="10" width="9.75" hidden="0" customWidth="1"/>
    <x:col min="11" max="11" width="8.130000114440918" hidden="0" customWidth="1"/>
    <x:col min="12" max="12" width="6.630000114440918" hidden="0" customWidth="1"/>
    <x:col min="13" max="13" width="8.130000114440918" hidden="0" customWidth="1"/>
    <x:col min="14" max="14" width="17.1299991607666" hidden="0" customWidth="1"/>
    <x:col min="15" max="15" width="28" hidden="0" customWidth="1"/>
  </x:cols>
  <x:sheetData>
    <x:row r="1">
      <x:c r="A1" s="18" t="str">
        <x:v>报价表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项目：西永 L 分区公立学校（暂定名）一期工程等项目配电工程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1" t="str">
        <x:v>合计投标价</x:v>
      </x:c>
      <x:c r="B4" s="20" t="n">
        <x:f>SUM(H11:H92)</x:f>
        <x:v>0</x:v>
      </x:c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1" t="str">
        <x:v>合计成本</x:v>
      </x:c>
      <x:c r="B5" s="20" t="n">
        <x:f>SUM(I11:I92)</x:f>
        <x:v>1100820.92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1" t="str">
        <x:v>合计毛利</x:v>
      </x:c>
      <x:c r="B6" s="20" t="n">
        <x:f>SUM(J11:J92)</x:f>
        <x:v>0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1" t="str">
        <x:v>报价状态</x:v>
      </x:c>
      <x:c r="B7" s="20" t="str">
        <x:v>待填投标单价 / 待 Phase 1 求解结果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Item ID</x:v>
      </x:c>
      <x:c r="B10" s="13" t="str">
        <x:v>项目名称</x:v>
      </x:c>
      <x:c r="C10" s="13" t="str">
        <x:v>单位</x:v>
      </x:c>
      <x:c r="D10" s="13" t="str">
        <x:v>工程量 q0</x:v>
      </x:c>
      <x:c r="E10" s="13" t="str">
        <x:v>最高限价</x:v>
      </x:c>
      <x:c r="F10" s="13" t="str">
        <x:v>估算单项成本 c_i</x:v>
      </x:c>
      <x:c r="G10" s="13" t="str">
        <x:v>投标单价</x:v>
      </x:c>
      <x:c r="H10" s="13" t="str">
        <x:v>投标合价</x:v>
      </x:c>
      <x:c r="I10" s="13" t="str">
        <x:v>成本合价</x:v>
      </x:c>
      <x:c r="J10" s="13" t="str">
        <x:v>单项毛利</x:v>
      </x:c>
      <x:c r="K10" s="13" t="str">
        <x:v>毛利率</x:v>
      </x:c>
      <x:c r="L10" s="13" t="str">
        <x:v>r_eff</x:v>
      </x:c>
      <x:c r="M10" s="13" t="str">
        <x:v>层归属</x:v>
      </x:c>
      <x:c r="N10" s="13" t="str">
        <x:v>状态</x:v>
      </x:c>
      <x:c r="O10" s="13" t="str">
        <x:v>说明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2" t="str">
        <x:v>030401002001</x:v>
      </x:c>
      <x:c r="B11" s="22" t="str">
        <x:v>干式变压器1600KVA</x:v>
      </x:c>
      <x:c r="C11" s="22" t="str">
        <x:v>台</x:v>
      </x:c>
      <x:c r="D11" s="23" t="n">
        <x:v>1</x:v>
      </x:c>
      <x:c r="E11" s="23" t="n">
        <x:v>176068.11</x:v>
      </x:c>
      <x:c r="F11" s="23" t="n">
        <x:v>129249</x:v>
      </x:c>
      <x:c r="G11" s="24"/>
      <x:c r="H11" s="23" t="str">
        <x:f>IF(G11="","",D11*G11)</x:f>
      </x:c>
      <x:c r="I11" s="23" t="n">
        <x:f>IF(F11="","",D11*F11)</x:f>
        <x:v>129249</x:v>
      </x:c>
      <x:c r="J11" s="23" t="str">
        <x:f>IF(OR(G11="",F11=""),"",G11-F11)</x:f>
      </x:c>
      <x:c r="K11" s="25" t="str">
        <x:f>IF(OR(G11="",G11=0,F11=""),"",J11/G11)</x:f>
      </x:c>
      <x:c r="L11" s="22"/>
      <x:c r="M11" s="22"/>
      <x:c r="N11" s="22" t="str">
        <x:v>READY_FOR_SOLVE</x:v>
      </x:c>
      <x:c r="O11" s="22" t="str">
        <x:v>投标单价待 Phase 1/2 解输出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2" t="str">
        <x:v>030401002002</x:v>
      </x:c>
      <x:c r="B12" s="22" t="str">
        <x:v>干式变压器1000KVA</x:v>
      </x:c>
      <x:c r="C12" s="22" t="str">
        <x:v>台</x:v>
      </x:c>
      <x:c r="D12" s="23" t="n">
        <x:v>1</x:v>
      </x:c>
      <x:c r="E12" s="23" t="n">
        <x:v>141176.67</x:v>
      </x:c>
      <x:c r="F12" s="23" t="n">
        <x:v>103658</x:v>
      </x:c>
      <x:c r="G12" s="24"/>
      <x:c r="H12" s="23" t="str">
        <x:f>IF(G12="","",D12*G12)</x:f>
      </x:c>
      <x:c r="I12" s="23" t="n">
        <x:f>IF(F12="","",D12*F12)</x:f>
        <x:v>103658</x:v>
      </x:c>
      <x:c r="J12" s="23" t="str">
        <x:f>IF(OR(G12="",F12=""),"",G12-F12)</x:f>
      </x:c>
      <x:c r="K12" s="25" t="str">
        <x:f>IF(OR(G12="",G12=0,F12=""),"",J12/G12)</x:f>
      </x:c>
      <x:c r="L12" s="22"/>
      <x:c r="M12" s="22"/>
      <x:c r="N12" s="22" t="str">
        <x:v>READY_FOR_SOLVE</x:v>
      </x:c>
      <x:c r="O12" s="22" t="str">
        <x:v>投标单价待 Phase 1/2 解输出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2" t="str">
        <x:v>030401002003</x:v>
      </x:c>
      <x:c r="B13" s="22" t="str">
        <x:v>拆除箱式变电站800kVA</x:v>
      </x:c>
      <x:c r="C13" s="22" t="str">
        <x:v>台</x:v>
      </x:c>
      <x:c r="D13" s="23" t="n">
        <x:v>1</x:v>
      </x:c>
      <x:c r="E13" s="23" t="n">
        <x:v>1407.82</x:v>
      </x:c>
      <x:c r="F13" s="23" t="n">
        <x:v>1500</x:v>
      </x:c>
      <x:c r="G13" s="24"/>
      <x:c r="H13" s="23" t="str">
        <x:f>IF(G13="","",D13*G13)</x:f>
      </x:c>
      <x:c r="I13" s="23" t="n">
        <x:f>IF(F13="","",D13*F13)</x:f>
        <x:v>1500</x:v>
      </x:c>
      <x:c r="J13" s="23" t="str">
        <x:f>IF(OR(G13="",F13=""),"",G13-F13)</x:f>
      </x:c>
      <x:c r="K13" s="25" t="str">
        <x:f>IF(OR(G13="",G13=0,F13=""),"",J13/G13)</x:f>
      </x:c>
      <x:c r="L13" s="22"/>
      <x:c r="M13" s="22"/>
      <x:c r="N13" s="22" t="str">
        <x:v>READY_FOR_SOLVE</x:v>
      </x:c>
      <x:c r="O13" s="22" t="str">
        <x:v>投标单价待 Phase 1/2 解输出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2" t="str">
        <x:v>030402017001</x:v>
      </x:c>
      <x:c r="B14" s="22" t="str">
        <x:v>高压柜 ZG1</x:v>
      </x:c>
      <x:c r="C14" s="22" t="str">
        <x:v>台</x:v>
      </x:c>
      <x:c r="D14" s="23" t="n">
        <x:v>1</x:v>
      </x:c>
      <x:c r="E14" s="23" t="n">
        <x:v>32881.61</x:v>
      </x:c>
      <x:c r="F14" s="23" t="n">
        <x:v>24214</x:v>
      </x:c>
      <x:c r="G14" s="24"/>
      <x:c r="H14" s="23" t="str">
        <x:f>IF(G14="","",D14*G14)</x:f>
      </x:c>
      <x:c r="I14" s="23" t="n">
        <x:f>IF(F14="","",D14*F14)</x:f>
        <x:v>24214</x:v>
      </x:c>
      <x:c r="J14" s="23" t="str">
        <x:f>IF(OR(G14="",F14=""),"",G14-F14)</x:f>
      </x:c>
      <x:c r="K14" s="25" t="str">
        <x:f>IF(OR(G14="",G14=0,F14=""),"",J14/G14)</x:f>
      </x:c>
      <x:c r="L14" s="22"/>
      <x:c r="M14" s="22"/>
      <x:c r="N14" s="22" t="str">
        <x:v>READY_FOR_SOLVE</x:v>
      </x:c>
      <x:c r="O14" s="22" t="str">
        <x:v>投标单价待 Phase 1/2 解输出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2" t="str">
        <x:v>030402017002</x:v>
      </x:c>
      <x:c r="B15" s="22" t="str">
        <x:v>高压柜 ZG2</x:v>
      </x:c>
      <x:c r="C15" s="22" t="str">
        <x:v>台</x:v>
      </x:c>
      <x:c r="D15" s="23" t="n">
        <x:v>1</x:v>
      </x:c>
      <x:c r="E15" s="23" t="n">
        <x:v>17501.07</x:v>
      </x:c>
      <x:c r="F15" s="23" t="n">
        <x:v>12939</x:v>
      </x:c>
      <x:c r="G15" s="24"/>
      <x:c r="H15" s="23" t="str">
        <x:f>IF(G15="","",D15*G15)</x:f>
      </x:c>
      <x:c r="I15" s="23" t="n">
        <x:f>IF(F15="","",D15*F15)</x:f>
        <x:v>12939</x:v>
      </x:c>
      <x:c r="J15" s="23" t="str">
        <x:f>IF(OR(G15="",F15=""),"",G15-F15)</x:f>
      </x:c>
      <x:c r="K15" s="25" t="str">
        <x:f>IF(OR(G15="",G15=0,F15=""),"",J15/G15)</x:f>
      </x:c>
      <x:c r="L15" s="22"/>
      <x:c r="M15" s="22"/>
      <x:c r="N15" s="22" t="str">
        <x:v>READY_FOR_SOLVE</x:v>
      </x:c>
      <x:c r="O15" s="22" t="str">
        <x:v>投标单价待 Phase 1/2 解输出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2" t="str">
        <x:v>030402017003</x:v>
      </x:c>
      <x:c r="B16" s="22" t="str">
        <x:v>高压柜 ZG3</x:v>
      </x:c>
      <x:c r="C16" s="22" t="str">
        <x:v>台</x:v>
      </x:c>
      <x:c r="D16" s="23" t="n">
        <x:v>1</x:v>
      </x:c>
      <x:c r="E16" s="23" t="n">
        <x:v>19589.57</x:v>
      </x:c>
      <x:c r="F16" s="23" t="n">
        <x:v>14470</x:v>
      </x:c>
      <x:c r="G16" s="24"/>
      <x:c r="H16" s="23" t="str">
        <x:f>IF(G16="","",D16*G16)</x:f>
      </x:c>
      <x:c r="I16" s="23" t="n">
        <x:f>IF(F16="","",D16*F16)</x:f>
        <x:v>14470</x:v>
      </x:c>
      <x:c r="J16" s="23" t="str">
        <x:f>IF(OR(G16="",F16=""),"",G16-F16)</x:f>
      </x:c>
      <x:c r="K16" s="25" t="str">
        <x:f>IF(OR(G16="",G16=0,F16=""),"",J16/G16)</x:f>
      </x:c>
      <x:c r="L16" s="22"/>
      <x:c r="M16" s="22"/>
      <x:c r="N16" s="22" t="str">
        <x:v>READY_FOR_SOLVE</x:v>
      </x:c>
      <x:c r="O16" s="22" t="str">
        <x:v>投标单价待 Phase 1/2 解输出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2" t="str">
        <x:v>030402017004</x:v>
      </x:c>
      <x:c r="B17" s="22" t="str">
        <x:v>高压柜 ZG4</x:v>
      </x:c>
      <x:c r="C17" s="22" t="str">
        <x:v>台</x:v>
      </x:c>
      <x:c r="D17" s="23" t="n">
        <x:v>1</x:v>
      </x:c>
      <x:c r="E17" s="23" t="n">
        <x:v>32124.08</x:v>
      </x:c>
      <x:c r="F17" s="23" t="n">
        <x:v>23659</x:v>
      </x:c>
      <x:c r="G17" s="24"/>
      <x:c r="H17" s="23" t="str">
        <x:f>IF(G17="","",D17*G17)</x:f>
      </x:c>
      <x:c r="I17" s="23" t="n">
        <x:f>IF(F17="","",D17*F17)</x:f>
        <x:v>23659</x:v>
      </x:c>
      <x:c r="J17" s="23" t="str">
        <x:f>IF(OR(G17="",F17=""),"",G17-F17)</x:f>
      </x:c>
      <x:c r="K17" s="25" t="str">
        <x:f>IF(OR(G17="",G17=0,F17=""),"",J17/G17)</x:f>
      </x:c>
      <x:c r="L17" s="22"/>
      <x:c r="M17" s="22"/>
      <x:c r="N17" s="22" t="str">
        <x:v>READY_FOR_SOLVE</x:v>
      </x:c>
      <x:c r="O17" s="22" t="str">
        <x:v>投标单价待 Phase 1/2 解输出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2" t="str">
        <x:v>030402017005</x:v>
      </x:c>
      <x:c r="B18" s="22" t="str">
        <x:v>高压柜 ZG5</x:v>
      </x:c>
      <x:c r="C18" s="22" t="str">
        <x:v>台</x:v>
      </x:c>
      <x:c r="D18" s="23" t="n">
        <x:v>1</x:v>
      </x:c>
      <x:c r="E18" s="23" t="n">
        <x:v>32124.08</x:v>
      </x:c>
      <x:c r="F18" s="23" t="n">
        <x:v>23659</x:v>
      </x:c>
      <x:c r="G18" s="24"/>
      <x:c r="H18" s="23" t="str">
        <x:f>IF(G18="","",D18*G18)</x:f>
      </x:c>
      <x:c r="I18" s="23" t="n">
        <x:f>IF(F18="","",D18*F18)</x:f>
        <x:v>23659</x:v>
      </x:c>
      <x:c r="J18" s="23" t="str">
        <x:f>IF(OR(G18="",F18=""),"",G18-F18)</x:f>
      </x:c>
      <x:c r="K18" s="25" t="str">
        <x:f>IF(OR(G18="",G18=0,F18=""),"",J18/G18)</x:f>
      </x:c>
      <x:c r="L18" s="22"/>
      <x:c r="M18" s="22"/>
      <x:c r="N18" s="22" t="str">
        <x:v>READY_FOR_SOLVE</x:v>
      </x:c>
      <x:c r="O18" s="22" t="str">
        <x:v>投标单价待 Phase 1/2 解输出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2" t="str">
        <x:v>030402017006</x:v>
      </x:c>
      <x:c r="B19" s="22" t="str">
        <x:v>高压柜 ZG6</x:v>
      </x:c>
      <x:c r="C19" s="22" t="str">
        <x:v>台</x:v>
      </x:c>
      <x:c r="D19" s="23" t="n">
        <x:v>1</x:v>
      </x:c>
      <x:c r="E19" s="23" t="n">
        <x:v>32124.08</x:v>
      </x:c>
      <x:c r="F19" s="23" t="n">
        <x:v>23659</x:v>
      </x:c>
      <x:c r="G19" s="24"/>
      <x:c r="H19" s="23" t="str">
        <x:f>IF(G19="","",D19*G19)</x:f>
      </x:c>
      <x:c r="I19" s="23" t="n">
        <x:f>IF(F19="","",D19*F19)</x:f>
        <x:v>23659</x:v>
      </x:c>
      <x:c r="J19" s="23" t="str">
        <x:f>IF(OR(G19="",F19=""),"",G19-F19)</x:f>
      </x:c>
      <x:c r="K19" s="25" t="str">
        <x:f>IF(OR(G19="",G19=0,F19=""),"",J19/G19)</x:f>
      </x:c>
      <x:c r="L19" s="22"/>
      <x:c r="M19" s="22"/>
      <x:c r="N19" s="22" t="str">
        <x:v>READY_FOR_SOLVE</x:v>
      </x:c>
      <x:c r="O19" s="22" t="str">
        <x:v>投标单价待 Phase 1/2 解输出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2" t="str">
        <x:v>030402017007</x:v>
      </x:c>
      <x:c r="B20" s="22" t="str">
        <x:v>高压柜 ZG7</x:v>
      </x:c>
      <x:c r="C20" s="22" t="str">
        <x:v>台</x:v>
      </x:c>
      <x:c r="D20" s="23" t="n">
        <x:v>1</x:v>
      </x:c>
      <x:c r="E20" s="23" t="n">
        <x:v>32124.08</x:v>
      </x:c>
      <x:c r="F20" s="23" t="n">
        <x:v>23659</x:v>
      </x:c>
      <x:c r="G20" s="24"/>
      <x:c r="H20" s="23" t="str">
        <x:f>IF(G20="","",D20*G20)</x:f>
      </x:c>
      <x:c r="I20" s="23" t="n">
        <x:f>IF(F20="","",D20*F20)</x:f>
        <x:v>23659</x:v>
      </x:c>
      <x:c r="J20" s="23" t="str">
        <x:f>IF(OR(G20="",F20=""),"",G20-F20)</x:f>
      </x:c>
      <x:c r="K20" s="25" t="str">
        <x:f>IF(OR(G20="",G20=0,F20=""),"",J20/G20)</x:f>
      </x:c>
      <x:c r="L20" s="22"/>
      <x:c r="M20" s="22"/>
      <x:c r="N20" s="22" t="str">
        <x:v>READY_FOR_SOLVE</x:v>
      </x:c>
      <x:c r="O20" s="22" t="str">
        <x:v>投标单价待 Phase 1/2 解输出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2" t="str">
        <x:v>030403006001</x:v>
      </x:c>
      <x:c r="B21" s="22" t="str">
        <x:v>封闭母线槽2000A/4P</x:v>
      </x:c>
      <x:c r="C21" s="22" t="str">
        <x:v>m</x:v>
      </x:c>
      <x:c r="D21" s="23" t="n">
        <x:v>10</x:v>
      </x:c>
      <x:c r="E21" s="23" t="n">
        <x:v>3205.65</x:v>
      </x:c>
      <x:c r="F21" s="23" t="n">
        <x:v>3329</x:v>
      </x:c>
      <x:c r="G21" s="24"/>
      <x:c r="H21" s="23" t="str">
        <x:f>IF(G21="","",D21*G21)</x:f>
      </x:c>
      <x:c r="I21" s="23" t="n">
        <x:f>IF(F21="","",D21*F21)</x:f>
        <x:v>33290</x:v>
      </x:c>
      <x:c r="J21" s="23" t="str">
        <x:f>IF(OR(G21="",F21=""),"",G21-F21)</x:f>
      </x:c>
      <x:c r="K21" s="25" t="str">
        <x:f>IF(OR(G21="",G21=0,F21=""),"",J21/G21)</x:f>
      </x:c>
      <x:c r="L21" s="22"/>
      <x:c r="M21" s="22"/>
      <x:c r="N21" s="22" t="str">
        <x:v>READY_FOR_SOLVE</x:v>
      </x:c>
      <x:c r="O21" s="22" t="str">
        <x:v>投标单价待 Phase 1/2 解输出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2" t="str">
        <x:v>030403006002</x:v>
      </x:c>
      <x:c r="B22" s="22" t="str">
        <x:v>封闭母线槽3200A/4P</x:v>
      </x:c>
      <x:c r="C22" s="22" t="str">
        <x:v>m</x:v>
      </x:c>
      <x:c r="D22" s="23" t="n">
        <x:v>5</x:v>
      </x:c>
      <x:c r="E22" s="23" t="n">
        <x:v>4669.72</x:v>
      </x:c>
      <x:c r="F22" s="23" t="n">
        <x:v>4848</x:v>
      </x:c>
      <x:c r="G22" s="24"/>
      <x:c r="H22" s="23" t="str">
        <x:f>IF(G22="","",D22*G22)</x:f>
      </x:c>
      <x:c r="I22" s="23" t="n">
        <x:f>IF(F22="","",D22*F22)</x:f>
        <x:v>24240</x:v>
      </x:c>
      <x:c r="J22" s="23" t="str">
        <x:f>IF(OR(G22="",F22=""),"",G22-F22)</x:f>
      </x:c>
      <x:c r="K22" s="25" t="str">
        <x:f>IF(OR(G22="",G22=0,F22=""),"",J22/G22)</x:f>
      </x:c>
      <x:c r="L22" s="22"/>
      <x:c r="M22" s="22"/>
      <x:c r="N22" s="22" t="str">
        <x:v>READY_FOR_SOLVE</x:v>
      </x:c>
      <x:c r="O22" s="22" t="str">
        <x:v>投标单价待 Phase 1/2 解输出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2" t="str">
        <x:v>030403007001</x:v>
      </x:c>
      <x:c r="B23" s="22" t="str">
        <x:v>始端箱2000A</x:v>
      </x:c>
      <x:c r="C23" s="22" t="str">
        <x:v>台</x:v>
      </x:c>
      <x:c r="D23" s="23" t="n">
        <x:v>2</x:v>
      </x:c>
      <x:c r="E23" s="23" t="n">
        <x:v>2105.61</x:v>
      </x:c>
      <x:c r="F23" s="23" t="n">
        <x:v>2206</x:v>
      </x:c>
      <x:c r="G23" s="24"/>
      <x:c r="H23" s="23" t="str">
        <x:f>IF(G23="","",D23*G23)</x:f>
      </x:c>
      <x:c r="I23" s="23" t="n">
        <x:f>IF(F23="","",D23*F23)</x:f>
        <x:v>4412</x:v>
      </x:c>
      <x:c r="J23" s="23" t="str">
        <x:f>IF(OR(G23="",F23=""),"",G23-F23)</x:f>
      </x:c>
      <x:c r="K23" s="25" t="str">
        <x:f>IF(OR(G23="",G23=0,F23=""),"",J23/G23)</x:f>
      </x:c>
      <x:c r="L23" s="22"/>
      <x:c r="M23" s="22"/>
      <x:c r="N23" s="22" t="str">
        <x:v>READY_FOR_SOLVE</x:v>
      </x:c>
      <x:c r="O23" s="22" t="str">
        <x:v>投标单价待 Phase 1/2 解输出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2" t="str">
        <x:v>030403007002</x:v>
      </x:c>
      <x:c r="B24" s="22" t="str">
        <x:v>始端箱3200A</x:v>
      </x:c>
      <x:c r="C24" s="22" t="str">
        <x:v>台</x:v>
      </x:c>
      <x:c r="D24" s="23" t="n">
        <x:v>4</x:v>
      </x:c>
      <x:c r="E24" s="23" t="n">
        <x:v>2688.29</x:v>
      </x:c>
      <x:c r="F24" s="23" t="n">
        <x:v>2818</x:v>
      </x:c>
      <x:c r="G24" s="24"/>
      <x:c r="H24" s="23" t="str">
        <x:f>IF(G24="","",D24*G24)</x:f>
      </x:c>
      <x:c r="I24" s="23" t="n">
        <x:f>IF(F24="","",D24*F24)</x:f>
        <x:v>11272</x:v>
      </x:c>
      <x:c r="J24" s="23" t="str">
        <x:f>IF(OR(G24="",F24=""),"",G24-F24)</x:f>
      </x:c>
      <x:c r="K24" s="25" t="str">
        <x:f>IF(OR(G24="",G24=0,F24=""),"",J24/G24)</x:f>
      </x:c>
      <x:c r="L24" s="22"/>
      <x:c r="M24" s="22"/>
      <x:c r="N24" s="22" t="str">
        <x:v>READY_FOR_SOLVE</x:v>
      </x:c>
      <x:c r="O24" s="22" t="str">
        <x:v>投标单价待 Phase 1/2 解输出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2" t="str">
        <x:v>030404004001</x:v>
      </x:c>
      <x:c r="B25" s="22" t="str">
        <x:v>低压开关柜(屏)1D1</x:v>
      </x:c>
      <x:c r="C25" s="22" t="str">
        <x:v>台</x:v>
      </x:c>
      <x:c r="D25" s="23" t="n">
        <x:v>1</x:v>
      </x:c>
      <x:c r="E25" s="23" t="n">
        <x:v>39221.17</x:v>
      </x:c>
      <x:c r="F25" s="23" t="n">
        <x:v>28788</x:v>
      </x:c>
      <x:c r="G25" s="24"/>
      <x:c r="H25" s="23" t="str">
        <x:f>IF(G25="","",D25*G25)</x:f>
      </x:c>
      <x:c r="I25" s="23" t="n">
        <x:f>IF(F25="","",D25*F25)</x:f>
        <x:v>28788</x:v>
      </x:c>
      <x:c r="J25" s="23" t="str">
        <x:f>IF(OR(G25="",F25=""),"",G25-F25)</x:f>
      </x:c>
      <x:c r="K25" s="25" t="str">
        <x:f>IF(OR(G25="",G25=0,F25=""),"",J25/G25)</x:f>
      </x:c>
      <x:c r="L25" s="22"/>
      <x:c r="M25" s="22"/>
      <x:c r="N25" s="22" t="str">
        <x:v>READY_FOR_SOLVE</x:v>
      </x:c>
      <x:c r="O25" s="22" t="str">
        <x:v>投标单价待 Phase 1/2 解输出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2" t="str">
        <x:v>030404004002</x:v>
      </x:c>
      <x:c r="B26" s="22" t="str">
        <x:v>低压开关柜(屏)1D2</x:v>
      </x:c>
      <x:c r="C26" s="22" t="str">
        <x:v>台</x:v>
      </x:c>
      <x:c r="D26" s="23" t="n">
        <x:v>1</x:v>
      </x:c>
      <x:c r="E26" s="23" t="n">
        <x:v>24877.81</x:v>
      </x:c>
      <x:c r="F26" s="23" t="n">
        <x:v>18273</x:v>
      </x:c>
      <x:c r="G26" s="24"/>
      <x:c r="H26" s="23" t="str">
        <x:f>IF(G26="","",D26*G26)</x:f>
      </x:c>
      <x:c r="I26" s="23" t="n">
        <x:f>IF(F26="","",D26*F26)</x:f>
        <x:v>18273</x:v>
      </x:c>
      <x:c r="J26" s="23" t="str">
        <x:f>IF(OR(G26="",F26=""),"",G26-F26)</x:f>
      </x:c>
      <x:c r="K26" s="25" t="str">
        <x:f>IF(OR(G26="",G26=0,F26=""),"",J26/G26)</x:f>
      </x:c>
      <x:c r="L26" s="22"/>
      <x:c r="M26" s="22"/>
      <x:c r="N26" s="22" t="str">
        <x:v>READY_FOR_SOLVE</x:v>
      </x:c>
      <x:c r="O26" s="22" t="str">
        <x:v>投标单价待 Phase 1/2 解输出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2" t="str">
        <x:v>030404004003</x:v>
      </x:c>
      <x:c r="B27" s="22" t="str">
        <x:v>低压开关柜(屏)1D3</x:v>
      </x:c>
      <x:c r="C27" s="22" t="str">
        <x:v>台</x:v>
      </x:c>
      <x:c r="D27" s="23" t="n">
        <x:v>1</x:v>
      </x:c>
      <x:c r="E27" s="23" t="n">
        <x:v>26579.58</x:v>
      </x:c>
      <x:c r="F27" s="23" t="n">
        <x:v>19521</x:v>
      </x:c>
      <x:c r="G27" s="24"/>
      <x:c r="H27" s="23" t="str">
        <x:f>IF(G27="","",D27*G27)</x:f>
      </x:c>
      <x:c r="I27" s="23" t="n">
        <x:f>IF(F27="","",D27*F27)</x:f>
        <x:v>19521</x:v>
      </x:c>
      <x:c r="J27" s="23" t="str">
        <x:f>IF(OR(G27="",F27=""),"",G27-F27)</x:f>
      </x:c>
      <x:c r="K27" s="25" t="str">
        <x:f>IF(OR(G27="",G27=0,F27=""),"",J27/G27)</x:f>
      </x:c>
      <x:c r="L27" s="22"/>
      <x:c r="M27" s="22"/>
      <x:c r="N27" s="22" t="str">
        <x:v>READY_FOR_SOLVE</x:v>
      </x:c>
      <x:c r="O27" s="22" t="str">
        <x:v>投标单价待 Phase 1/2 解输出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2" t="str">
        <x:v>030404004004</x:v>
      </x:c>
      <x:c r="B28" s="22" t="str">
        <x:v>低压开关柜(屏)1D4</x:v>
      </x:c>
      <x:c r="C28" s="22" t="str">
        <x:v>台</x:v>
      </x:c>
      <x:c r="D28" s="23" t="n">
        <x:v>1</x:v>
      </x:c>
      <x:c r="E28" s="23" t="n">
        <x:v>24384</x:v>
      </x:c>
      <x:c r="F28" s="23" t="n">
        <x:v>17911</x:v>
      </x:c>
      <x:c r="G28" s="24"/>
      <x:c r="H28" s="23" t="str">
        <x:f>IF(G28="","",D28*G28)</x:f>
      </x:c>
      <x:c r="I28" s="23" t="n">
        <x:f>IF(F28="","",D28*F28)</x:f>
        <x:v>17911</x:v>
      </x:c>
      <x:c r="J28" s="23" t="str">
        <x:f>IF(OR(G28="",F28=""),"",G28-F28)</x:f>
      </x:c>
      <x:c r="K28" s="25" t="str">
        <x:f>IF(OR(G28="",G28=0,F28=""),"",J28/G28)</x:f>
      </x:c>
      <x:c r="L28" s="22"/>
      <x:c r="M28" s="22"/>
      <x:c r="N28" s="22" t="str">
        <x:v>READY_FOR_SOLVE</x:v>
      </x:c>
      <x:c r="O28" s="22" t="str">
        <x:v>投标单价待 Phase 1/2 解输出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2" t="str">
        <x:v>030404004005</x:v>
      </x:c>
      <x:c r="B29" s="22" t="str">
        <x:v>低压开关柜(屏)1D5</x:v>
      </x:c>
      <x:c r="C29" s="22" t="str">
        <x:v>台</x:v>
      </x:c>
      <x:c r="D29" s="23" t="n">
        <x:v>1</x:v>
      </x:c>
      <x:c r="E29" s="23" t="n">
        <x:v>26455.68</x:v>
      </x:c>
      <x:c r="F29" s="23" t="n">
        <x:v>19430</x:v>
      </x:c>
      <x:c r="G29" s="24"/>
      <x:c r="H29" s="23" t="str">
        <x:f>IF(G29="","",D29*G29)</x:f>
      </x:c>
      <x:c r="I29" s="23" t="n">
        <x:f>IF(F29="","",D29*F29)</x:f>
        <x:v>19430</x:v>
      </x:c>
      <x:c r="J29" s="23" t="str">
        <x:f>IF(OR(G29="",F29=""),"",G29-F29)</x:f>
      </x:c>
      <x:c r="K29" s="25" t="str">
        <x:f>IF(OR(G29="",G29=0,F29=""),"",J29/G29)</x:f>
      </x:c>
      <x:c r="L29" s="22"/>
      <x:c r="M29" s="22"/>
      <x:c r="N29" s="22" t="str">
        <x:v>READY_FOR_SOLVE</x:v>
      </x:c>
      <x:c r="O29" s="22" t="str">
        <x:v>投标单价待 Phase 1/2 解输出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2" t="str">
        <x:v>030404004006</x:v>
      </x:c>
      <x:c r="B30" s="22" t="str">
        <x:v>低压开关柜(屏)1D6</x:v>
      </x:c>
      <x:c r="C30" s="22" t="str">
        <x:v>台</x:v>
      </x:c>
      <x:c r="D30" s="23" t="n">
        <x:v>1</x:v>
      </x:c>
      <x:c r="E30" s="23" t="n">
        <x:v>34388.43</x:v>
      </x:c>
      <x:c r="F30" s="23" t="n">
        <x:v>25245</x:v>
      </x:c>
      <x:c r="G30" s="24"/>
      <x:c r="H30" s="23" t="str">
        <x:f>IF(G30="","",D30*G30)</x:f>
      </x:c>
      <x:c r="I30" s="23" t="n">
        <x:f>IF(F30="","",D30*F30)</x:f>
        <x:v>25245</x:v>
      </x:c>
      <x:c r="J30" s="23" t="str">
        <x:f>IF(OR(G30="",F30=""),"",G30-F30)</x:f>
      </x:c>
      <x:c r="K30" s="25" t="str">
        <x:f>IF(OR(G30="",G30=0,F30=""),"",J30/G30)</x:f>
      </x:c>
      <x:c r="L30" s="22"/>
      <x:c r="M30" s="22"/>
      <x:c r="N30" s="22" t="str">
        <x:v>READY_FOR_SOLVE</x:v>
      </x:c>
      <x:c r="O30" s="22" t="str">
        <x:v>投标单价待 Phase 1/2 解输出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2" t="str">
        <x:v>030404004007</x:v>
      </x:c>
      <x:c r="B31" s="22" t="str">
        <x:v>低压开关柜(屏)1D7</x:v>
      </x:c>
      <x:c r="C31" s="22" t="str">
        <x:v>台</x:v>
      </x:c>
      <x:c r="D31" s="23" t="n">
        <x:v>1</x:v>
      </x:c>
      <x:c r="E31" s="23" t="n">
        <x:v>25342.41</x:v>
      </x:c>
      <x:c r="F31" s="23" t="n">
        <x:v>18614</x:v>
      </x:c>
      <x:c r="G31" s="24"/>
      <x:c r="H31" s="23" t="str">
        <x:f>IF(G31="","",D31*G31)</x:f>
      </x:c>
      <x:c r="I31" s="23" t="n">
        <x:f>IF(F31="","",D31*F31)</x:f>
        <x:v>18614</x:v>
      </x:c>
      <x:c r="J31" s="23" t="str">
        <x:f>IF(OR(G31="",F31=""),"",G31-F31)</x:f>
      </x:c>
      <x:c r="K31" s="25" t="str">
        <x:f>IF(OR(G31="",G31=0,F31=""),"",J31/G31)</x:f>
      </x:c>
      <x:c r="L31" s="22"/>
      <x:c r="M31" s="22"/>
      <x:c r="N31" s="22" t="str">
        <x:v>READY_FOR_SOLVE</x:v>
      </x:c>
      <x:c r="O31" s="22" t="str">
        <x:v>投标单价待 Phase 1/2 解输出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2" t="str">
        <x:v>030404004008</x:v>
      </x:c>
      <x:c r="B32" s="22" t="str">
        <x:v>低压开关柜(屏)1D8</x:v>
      </x:c>
      <x:c r="C32" s="22" t="str">
        <x:v>台</x:v>
      </x:c>
      <x:c r="D32" s="23" t="n">
        <x:v>1</x:v>
      </x:c>
      <x:c r="E32" s="23" t="n">
        <x:v>23897.28</x:v>
      </x:c>
      <x:c r="F32" s="23" t="n">
        <x:v>17554</x:v>
      </x:c>
      <x:c r="G32" s="24"/>
      <x:c r="H32" s="23" t="str">
        <x:f>IF(G32="","",D32*G32)</x:f>
      </x:c>
      <x:c r="I32" s="23" t="n">
        <x:f>IF(F32="","",D32*F32)</x:f>
        <x:v>17554</x:v>
      </x:c>
      <x:c r="J32" s="23" t="str">
        <x:f>IF(OR(G32="",F32=""),"",G32-F32)</x:f>
      </x:c>
      <x:c r="K32" s="25" t="str">
        <x:f>IF(OR(G32="",G32=0,F32=""),"",J32/G32)</x:f>
      </x:c>
      <x:c r="L32" s="22"/>
      <x:c r="M32" s="22"/>
      <x:c r="N32" s="22" t="str">
        <x:v>READY_FOR_SOLVE</x:v>
      </x:c>
      <x:c r="O32" s="22" t="str">
        <x:v>投标单价待 Phase 1/2 解输出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2" t="str">
        <x:v>030404004009</x:v>
      </x:c>
      <x:c r="B33" s="22" t="str">
        <x:v>低压开关柜(屏)2D6</x:v>
      </x:c>
      <x:c r="C33" s="22" t="str">
        <x:v>台</x:v>
      </x:c>
      <x:c r="D33" s="23" t="n">
        <x:v>1</x:v>
      </x:c>
      <x:c r="E33" s="23" t="n">
        <x:v>30989.31</x:v>
      </x:c>
      <x:c r="F33" s="23" t="n">
        <x:v>22753</x:v>
      </x:c>
      <x:c r="G33" s="24"/>
      <x:c r="H33" s="23" t="str">
        <x:f>IF(G33="","",D33*G33)</x:f>
      </x:c>
      <x:c r="I33" s="23" t="n">
        <x:f>IF(F33="","",D33*F33)</x:f>
        <x:v>22753</x:v>
      </x:c>
      <x:c r="J33" s="23" t="str">
        <x:f>IF(OR(G33="",F33=""),"",G33-F33)</x:f>
      </x:c>
      <x:c r="K33" s="25" t="str">
        <x:f>IF(OR(G33="",G33=0,F33=""),"",J33/G33)</x:f>
      </x:c>
      <x:c r="L33" s="22"/>
      <x:c r="M33" s="22"/>
      <x:c r="N33" s="22" t="str">
        <x:v>READY_FOR_SOLVE</x:v>
      </x:c>
      <x:c r="O33" s="22" t="str">
        <x:v>投标单价待 Phase 1/2 解输出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2" t="str">
        <x:v>030404004010</x:v>
      </x:c>
      <x:c r="B34" s="22" t="str">
        <x:v>低压开关柜(屏)2D5</x:v>
      </x:c>
      <x:c r="C34" s="22" t="str">
        <x:v>台</x:v>
      </x:c>
      <x:c r="D34" s="23" t="n">
        <x:v>1</x:v>
      </x:c>
      <x:c r="E34" s="23" t="n">
        <x:v>26078.25</x:v>
      </x:c>
      <x:c r="F34" s="23" t="n">
        <x:v>19153</x:v>
      </x:c>
      <x:c r="G34" s="24"/>
      <x:c r="H34" s="23" t="str">
        <x:f>IF(G34="","",D34*G34)</x:f>
      </x:c>
      <x:c r="I34" s="23" t="n">
        <x:f>IF(F34="","",D34*F34)</x:f>
        <x:v>19153</x:v>
      </x:c>
      <x:c r="J34" s="23" t="str">
        <x:f>IF(OR(G34="",F34=""),"",G34-F34)</x:f>
      </x:c>
      <x:c r="K34" s="25" t="str">
        <x:f>IF(OR(G34="",G34=0,F34=""),"",J34/G34)</x:f>
      </x:c>
      <x:c r="L34" s="22"/>
      <x:c r="M34" s="22"/>
      <x:c r="N34" s="22" t="str">
        <x:v>READY_FOR_SOLVE</x:v>
      </x:c>
      <x:c r="O34" s="22" t="str">
        <x:v>投标单价待 Phase 1/2 解输出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22" t="str">
        <x:v>030404004011</x:v>
      </x:c>
      <x:c r="B35" s="22" t="str">
        <x:v>低压开关柜(屏)2D4</x:v>
      </x:c>
      <x:c r="C35" s="22" t="str">
        <x:v>台</x:v>
      </x:c>
      <x:c r="D35" s="23" t="n">
        <x:v>1</x:v>
      </x:c>
      <x:c r="E35" s="23" t="n">
        <x:v>20972.5</x:v>
      </x:c>
      <x:c r="F35" s="23" t="n">
        <x:v>15410</x:v>
      </x:c>
      <x:c r="G35" s="24"/>
      <x:c r="H35" s="23" t="str">
        <x:f>IF(G35="","",D35*G35)</x:f>
      </x:c>
      <x:c r="I35" s="23" t="n">
        <x:f>IF(F35="","",D35*F35)</x:f>
        <x:v>15410</x:v>
      </x:c>
      <x:c r="J35" s="23" t="str">
        <x:f>IF(OR(G35="",F35=""),"",G35-F35)</x:f>
      </x:c>
      <x:c r="K35" s="25" t="str">
        <x:f>IF(OR(G35="",G35=0,F35=""),"",J35/G35)</x:f>
      </x:c>
      <x:c r="L35" s="22"/>
      <x:c r="M35" s="22"/>
      <x:c r="N35" s="22" t="str">
        <x:v>READY_FOR_SOLVE</x:v>
      </x:c>
      <x:c r="O35" s="22" t="str">
        <x:v>投标单价待 Phase 1/2 解输出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22" t="str">
        <x:v>030404004012</x:v>
      </x:c>
      <x:c r="B36" s="22" t="str">
        <x:v>低压开关柜(屏)2D3</x:v>
      </x:c>
      <x:c r="C36" s="22" t="str">
        <x:v>台</x:v>
      </x:c>
      <x:c r="D36" s="23" t="n">
        <x:v>1</x:v>
      </x:c>
      <x:c r="E36" s="23" t="n">
        <x:v>18096.39</x:v>
      </x:c>
      <x:c r="F36" s="23" t="n">
        <x:v>13302</x:v>
      </x:c>
      <x:c r="G36" s="24"/>
      <x:c r="H36" s="23" t="str">
        <x:f>IF(G36="","",D36*G36)</x:f>
      </x:c>
      <x:c r="I36" s="23" t="n">
        <x:f>IF(F36="","",D36*F36)</x:f>
        <x:v>13302</x:v>
      </x:c>
      <x:c r="J36" s="23" t="str">
        <x:f>IF(OR(G36="",F36=""),"",G36-F36)</x:f>
      </x:c>
      <x:c r="K36" s="25" t="str">
        <x:f>IF(OR(G36="",G36=0,F36=""),"",J36/G36)</x:f>
      </x:c>
      <x:c r="L36" s="22"/>
      <x:c r="M36" s="22"/>
      <x:c r="N36" s="22" t="str">
        <x:v>READY_FOR_SOLVE</x:v>
      </x:c>
      <x:c r="O36" s="22" t="str">
        <x:v>投标单价待 Phase 1/2 解输出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22" t="str">
        <x:v>030404004013</x:v>
      </x:c>
      <x:c r="B37" s="22" t="str">
        <x:v>低压开关柜(屏)2D2</x:v>
      </x:c>
      <x:c r="C37" s="22" t="str">
        <x:v>台</x:v>
      </x:c>
      <x:c r="D37" s="23" t="n">
        <x:v>1</x:v>
      </x:c>
      <x:c r="E37" s="23" t="n">
        <x:v>18096.39</x:v>
      </x:c>
      <x:c r="F37" s="23" t="n">
        <x:v>13302</x:v>
      </x:c>
      <x:c r="G37" s="24"/>
      <x:c r="H37" s="23" t="str">
        <x:f>IF(G37="","",D37*G37)</x:f>
      </x:c>
      <x:c r="I37" s="23" t="n">
        <x:f>IF(F37="","",D37*F37)</x:f>
        <x:v>13302</x:v>
      </x:c>
      <x:c r="J37" s="23" t="str">
        <x:f>IF(OR(G37="",F37=""),"",G37-F37)</x:f>
      </x:c>
      <x:c r="K37" s="25" t="str">
        <x:f>IF(OR(G37="",G37=0,F37=""),"",J37/G37)</x:f>
      </x:c>
      <x:c r="L37" s="22"/>
      <x:c r="M37" s="22"/>
      <x:c r="N37" s="22" t="str">
        <x:v>READY_FOR_SOLVE</x:v>
      </x:c>
      <x:c r="O37" s="22" t="str">
        <x:v>投标单价待 Phase 1/2 解输出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2" t="str">
        <x:v>030404004014</x:v>
      </x:c>
      <x:c r="B38" s="22" t="str">
        <x:v>低压开关柜(屏)2D1</x:v>
      </x:c>
      <x:c r="C38" s="22" t="str">
        <x:v>台</x:v>
      </x:c>
      <x:c r="D38" s="23" t="n">
        <x:v>1</x:v>
      </x:c>
      <x:c r="E38" s="23" t="n">
        <x:v>26493.74</x:v>
      </x:c>
      <x:c r="F38" s="23" t="n">
        <x:v>19458</x:v>
      </x:c>
      <x:c r="G38" s="24"/>
      <x:c r="H38" s="23" t="str">
        <x:f>IF(G38="","",D38*G38)</x:f>
      </x:c>
      <x:c r="I38" s="23" t="n">
        <x:f>IF(F38="","",D38*F38)</x:f>
        <x:v>19458</x:v>
      </x:c>
      <x:c r="J38" s="23" t="str">
        <x:f>IF(OR(G38="",F38=""),"",G38-F38)</x:f>
      </x:c>
      <x:c r="K38" s="25" t="str">
        <x:f>IF(OR(G38="",G38=0,F38=""),"",J38/G38)</x:f>
      </x:c>
      <x:c r="L38" s="22"/>
      <x:c r="M38" s="22"/>
      <x:c r="N38" s="22" t="str">
        <x:v>READY_FOR_SOLVE</x:v>
      </x:c>
      <x:c r="O38" s="22" t="str">
        <x:v>投标单价待 Phase 1/2 解输出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2" t="str">
        <x:v>030404017001</x:v>
      </x:c>
      <x:c r="B39" s="22" t="str">
        <x:v>24Ah直流电源箱</x:v>
      </x:c>
      <x:c r="C39" s="22" t="str">
        <x:v>套</x:v>
      </x:c>
      <x:c r="D39" s="23" t="n">
        <x:v>1</x:v>
      </x:c>
      <x:c r="E39" s="23" t="n">
        <x:v>6614.19</x:v>
      </x:c>
      <x:c r="F39" s="23" t="n">
        <x:v>6785</x:v>
      </x:c>
      <x:c r="G39" s="24"/>
      <x:c r="H39" s="23" t="str">
        <x:f>IF(G39="","",D39*G39)</x:f>
      </x:c>
      <x:c r="I39" s="23" t="n">
        <x:f>IF(F39="","",D39*F39)</x:f>
        <x:v>6785</x:v>
      </x:c>
      <x:c r="J39" s="23" t="str">
        <x:f>IF(OR(G39="",F39=""),"",G39-F39)</x:f>
      </x:c>
      <x:c r="K39" s="25" t="str">
        <x:f>IF(OR(G39="",G39=0,F39=""),"",J39/G39)</x:f>
      </x:c>
      <x:c r="L39" s="22"/>
      <x:c r="M39" s="22"/>
      <x:c r="N39" s="22" t="str">
        <x:v>READY_FOR_SOLVE</x:v>
      </x:c>
      <x:c r="O39" s="22" t="str">
        <x:v>投标单价待 Phase 1/2 解输出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2" t="str">
        <x:v>030408001001</x:v>
      </x:c>
      <x:c r="B40" s="22" t="str">
        <x:v>高压电缆WDZB-YJY22-8.7/15kV-3x70mm2</x:v>
      </x:c>
      <x:c r="C40" s="22" t="str">
        <x:v>m</x:v>
      </x:c>
      <x:c r="D40" s="23" t="n">
        <x:v>15</x:v>
      </x:c>
      <x:c r="E40" s="23" t="n">
        <x:v>228.08</x:v>
      </x:c>
      <x:c r="F40" s="23" t="n">
        <x:v>223</x:v>
      </x:c>
      <x:c r="G40" s="24"/>
      <x:c r="H40" s="23" t="str">
        <x:f>IF(G40="","",D40*G40)</x:f>
      </x:c>
      <x:c r="I40" s="23" t="n">
        <x:f>IF(F40="","",D40*F40)</x:f>
        <x:v>3345</x:v>
      </x:c>
      <x:c r="J40" s="23" t="str">
        <x:f>IF(OR(G40="",F40=""),"",G40-F40)</x:f>
      </x:c>
      <x:c r="K40" s="25" t="str">
        <x:f>IF(OR(G40="",G40=0,F40=""),"",J40/G40)</x:f>
      </x:c>
      <x:c r="L40" s="22"/>
      <x:c r="M40" s="22"/>
      <x:c r="N40" s="22" t="str">
        <x:v>READY_FOR_SOLVE</x:v>
      </x:c>
      <x:c r="O40" s="22" t="str">
        <x:v>投标单价待 Phase 1/2 解输出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2" t="str">
        <x:v>030408001002</x:v>
      </x:c>
      <x:c r="B41" s="22" t="str">
        <x:v>高压电缆WDZB-YJY22-8.7/15kV-3x95mm2</x:v>
      </x:c>
      <x:c r="C41" s="22" t="str">
        <x:v>m</x:v>
      </x:c>
      <x:c r="D41" s="23" t="n">
        <x:v>15</x:v>
      </x:c>
      <x:c r="E41" s="23" t="n">
        <x:v>273.77</x:v>
      </x:c>
      <x:c r="F41" s="23" t="n">
        <x:v>267</x:v>
      </x:c>
      <x:c r="G41" s="24"/>
      <x:c r="H41" s="23" t="str">
        <x:f>IF(G41="","",D41*G41)</x:f>
      </x:c>
      <x:c r="I41" s="23" t="n">
        <x:f>IF(F41="","",D41*F41)</x:f>
        <x:v>4005</x:v>
      </x:c>
      <x:c r="J41" s="23" t="str">
        <x:f>IF(OR(G41="",F41=""),"",G41-F41)</x:f>
      </x:c>
      <x:c r="K41" s="25" t="str">
        <x:f>IF(OR(G41="",G41=0,F41=""),"",J41/G41)</x:f>
      </x:c>
      <x:c r="L41" s="22"/>
      <x:c r="M41" s="22"/>
      <x:c r="N41" s="22" t="str">
        <x:v>READY_FOR_SOLVE</x:v>
      </x:c>
      <x:c r="O41" s="22" t="str">
        <x:v>投标单价待 Phase 1/2 解输出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2" t="str">
        <x:v>030408001003</x:v>
      </x:c>
      <x:c r="B42" s="22" t="str">
        <x:v>高压电缆WDZB-YJY22-8.7/15kV-3x185mm2</x:v>
      </x:c>
      <x:c r="C42" s="22" t="str">
        <x:v>m</x:v>
      </x:c>
      <x:c r="D42" s="23" t="n">
        <x:v>523</x:v>
      </x:c>
      <x:c r="E42" s="23" t="n">
        <x:v>642.4</x:v>
      </x:c>
      <x:c r="F42" s="23" t="n">
        <x:v>625</x:v>
      </x:c>
      <x:c r="G42" s="24"/>
      <x:c r="H42" s="23" t="str">
        <x:f>IF(G42="","",D42*G42)</x:f>
      </x:c>
      <x:c r="I42" s="23" t="n">
        <x:f>IF(F42="","",D42*F42)</x:f>
        <x:v>326875</x:v>
      </x:c>
      <x:c r="J42" s="23" t="str">
        <x:f>IF(OR(G42="",F42=""),"",G42-F42)</x:f>
      </x:c>
      <x:c r="K42" s="25" t="str">
        <x:f>IF(OR(G42="",G42=0,F42=""),"",J42/G42)</x:f>
      </x:c>
      <x:c r="L42" s="22"/>
      <x:c r="M42" s="22"/>
      <x:c r="N42" s="22" t="str">
        <x:v>READY_FOR_SOLVE</x:v>
      </x:c>
      <x:c r="O42" s="22" t="str">
        <x:v>投标单价待 Phase 1/2 解输出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2" t="str">
        <x:v>030408001004</x:v>
      </x:c>
      <x:c r="B43" s="22" t="str">
        <x:v>电力电缆 ZB-YJV-5x10</x:v>
      </x:c>
      <x:c r="C43" s="22" t="str">
        <x:v>m</x:v>
      </x:c>
      <x:c r="D43" s="23" t="n">
        <x:v>40</x:v>
      </x:c>
      <x:c r="E43" s="23" t="n">
        <x:v>47.94</x:v>
      </x:c>
      <x:c r="F43" s="23" t="n">
        <x:v>36</x:v>
      </x:c>
      <x:c r="G43" s="24"/>
      <x:c r="H43" s="23" t="str">
        <x:f>IF(G43="","",D43*G43)</x:f>
      </x:c>
      <x:c r="I43" s="23" t="n">
        <x:f>IF(F43="","",D43*F43)</x:f>
        <x:v>1440</x:v>
      </x:c>
      <x:c r="J43" s="23" t="str">
        <x:f>IF(OR(G43="",F43=""),"",G43-F43)</x:f>
      </x:c>
      <x:c r="K43" s="25" t="str">
        <x:f>IF(OR(G43="",G43=0,F43=""),"",J43/G43)</x:f>
      </x:c>
      <x:c r="L43" s="22"/>
      <x:c r="M43" s="22"/>
      <x:c r="N43" s="22" t="str">
        <x:v>READY_FOR_SOLVE</x:v>
      </x:c>
      <x:c r="O43" s="22" t="str">
        <x:v>投标单价待 Phase 1/2 解输出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2" t="str">
        <x:v>030408001005</x:v>
      </x:c>
      <x:c r="B44" s="22" t="str">
        <x:v>电力电缆 ZB-YJV-4x6</x:v>
      </x:c>
      <x:c r="C44" s="22" t="str">
        <x:v>m</x:v>
      </x:c>
      <x:c r="D44" s="23" t="n">
        <x:v>40</x:v>
      </x:c>
      <x:c r="E44" s="23" t="n">
        <x:v>25.8</x:v>
      </x:c>
      <x:c r="F44" s="23" t="n">
        <x:v>19</x:v>
      </x:c>
      <x:c r="G44" s="24"/>
      <x:c r="H44" s="23" t="str">
        <x:f>IF(G44="","",D44*G44)</x:f>
      </x:c>
      <x:c r="I44" s="23" t="n">
        <x:f>IF(F44="","",D44*F44)</x:f>
        <x:v>760</x:v>
      </x:c>
      <x:c r="J44" s="23" t="str">
        <x:f>IF(OR(G44="",F44=""),"",G44-F44)</x:f>
      </x:c>
      <x:c r="K44" s="25" t="str">
        <x:f>IF(OR(G44="",G44=0,F44=""),"",J44/G44)</x:f>
      </x:c>
      <x:c r="L44" s="22"/>
      <x:c r="M44" s="22"/>
      <x:c r="N44" s="22" t="str">
        <x:v>READY_FOR_SOLVE</x:v>
      </x:c>
      <x:c r="O44" s="22" t="str">
        <x:v>投标单价待 Phase 1/2 解输出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2" t="str">
        <x:v>030408001006</x:v>
      </x:c>
      <x:c r="B45" s="22" t="str">
        <x:v>拆除高压电缆YJY22-8.7/15 3x50</x:v>
      </x:c>
      <x:c r="C45" s="22" t="str">
        <x:v>m</x:v>
      </x:c>
      <x:c r="D45" s="23" t="n">
        <x:v>280</x:v>
      </x:c>
      <x:c r="E45" s="23" t="n">
        <x:v>5.37</x:v>
      </x:c>
      <x:c r="F45" s="23" t="n">
        <x:v>8</x:v>
      </x:c>
      <x:c r="G45" s="24"/>
      <x:c r="H45" s="23" t="str">
        <x:f>IF(G45="","",D45*G45)</x:f>
      </x:c>
      <x:c r="I45" s="23" t="n">
        <x:f>IF(F45="","",D45*F45)</x:f>
        <x:v>2240</x:v>
      </x:c>
      <x:c r="J45" s="23" t="str">
        <x:f>IF(OR(G45="",F45=""),"",G45-F45)</x:f>
      </x:c>
      <x:c r="K45" s="25" t="str">
        <x:f>IF(OR(G45="",G45=0,F45=""),"",J45/G45)</x:f>
      </x:c>
      <x:c r="L45" s="22"/>
      <x:c r="M45" s="22"/>
      <x:c r="N45" s="22" t="str">
        <x:v>READY_FOR_SOLVE</x:v>
      </x:c>
      <x:c r="O45" s="22" t="str">
        <x:v>投标单价待 Phase 1/2 解输出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2" t="str">
        <x:v>030408002001</x:v>
      </x:c>
      <x:c r="B46" s="22" t="str">
        <x:v>控制电缆KVVP-0.45-8x2.5</x:v>
      </x:c>
      <x:c r="C46" s="22" t="str">
        <x:v>m</x:v>
      </x:c>
      <x:c r="D46" s="23" t="n">
        <x:v>40</x:v>
      </x:c>
      <x:c r="E46" s="23" t="n">
        <x:v>34.05</x:v>
      </x:c>
      <x:c r="F46" s="23" t="n">
        <x:v>25</x:v>
      </x:c>
      <x:c r="G46" s="24"/>
      <x:c r="H46" s="23" t="str">
        <x:f>IF(G46="","",D46*G46)</x:f>
      </x:c>
      <x:c r="I46" s="23" t="n">
        <x:f>IF(F46="","",D46*F46)</x:f>
        <x:v>1000</x:v>
      </x:c>
      <x:c r="J46" s="23" t="str">
        <x:f>IF(OR(G46="",F46=""),"",G46-F46)</x:f>
      </x:c>
      <x:c r="K46" s="25" t="str">
        <x:f>IF(OR(G46="",G46=0,F46=""),"",J46/G46)</x:f>
      </x:c>
      <x:c r="L46" s="22"/>
      <x:c r="M46" s="22"/>
      <x:c r="N46" s="22" t="str">
        <x:v>READY_FOR_SOLVE</x:v>
      </x:c>
      <x:c r="O46" s="22" t="str">
        <x:v>投标单价待 Phase 1/2 解输出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2" t="str">
        <x:v>030408002002</x:v>
      </x:c>
      <x:c r="B47" s="22" t="str">
        <x:v>控制电缆KVVP-0.45-2x2.5</x:v>
      </x:c>
      <x:c r="C47" s="22" t="str">
        <x:v>m</x:v>
      </x:c>
      <x:c r="D47" s="23" t="n">
        <x:v>40</x:v>
      </x:c>
      <x:c r="E47" s="23" t="n">
        <x:v>14.06</x:v>
      </x:c>
      <x:c r="F47" s="23" t="n">
        <x:v>11</x:v>
      </x:c>
      <x:c r="G47" s="24"/>
      <x:c r="H47" s="23" t="str">
        <x:f>IF(G47="","",D47*G47)</x:f>
      </x:c>
      <x:c r="I47" s="23" t="n">
        <x:f>IF(F47="","",D47*F47)</x:f>
        <x:v>440</x:v>
      </x:c>
      <x:c r="J47" s="23" t="str">
        <x:f>IF(OR(G47="",F47=""),"",G47-F47)</x:f>
      </x:c>
      <x:c r="K47" s="25" t="str">
        <x:f>IF(OR(G47="",G47=0,F47=""),"",J47/G47)</x:f>
      </x:c>
      <x:c r="L47" s="22"/>
      <x:c r="M47" s="22"/>
      <x:c r="N47" s="22" t="str">
        <x:v>READY_FOR_SOLVE</x:v>
      </x:c>
      <x:c r="O47" s="22" t="str">
        <x:v>投标单价待 Phase 1/2 解输出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2" t="str">
        <x:v>030408006001</x:v>
      </x:c>
      <x:c r="B48" s="22" t="str">
        <x:v>终端电缆头-3*70mm2</x:v>
      </x:c>
      <x:c r="C48" s="22" t="str">
        <x:v>个</x:v>
      </x:c>
      <x:c r="D48" s="23" t="n">
        <x:v>2</x:v>
      </x:c>
      <x:c r="E48" s="23" t="n">
        <x:v>568.64</x:v>
      </x:c>
      <x:c r="F48" s="23" t="n">
        <x:v>428</x:v>
      </x:c>
      <x:c r="G48" s="24"/>
      <x:c r="H48" s="23" t="str">
        <x:f>IF(G48="","",D48*G48)</x:f>
      </x:c>
      <x:c r="I48" s="23" t="n">
        <x:f>IF(F48="","",D48*F48)</x:f>
        <x:v>856</x:v>
      </x:c>
      <x:c r="J48" s="23" t="str">
        <x:f>IF(OR(G48="",F48=""),"",G48-F48)</x:f>
      </x:c>
      <x:c r="K48" s="25" t="str">
        <x:f>IF(OR(G48="",G48=0,F48=""),"",J48/G48)</x:f>
      </x:c>
      <x:c r="L48" s="22"/>
      <x:c r="M48" s="22"/>
      <x:c r="N48" s="22" t="str">
        <x:v>READY_FOR_SOLVE</x:v>
      </x:c>
      <x:c r="O48" s="22" t="str">
        <x:v>投标单价待 Phase 1/2 解输出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2" t="str">
        <x:v>030408006002</x:v>
      </x:c>
      <x:c r="B49" s="22" t="str">
        <x:v>终端电缆头-3*95mm2</x:v>
      </x:c>
      <x:c r="C49" s="22" t="str">
        <x:v>个</x:v>
      </x:c>
      <x:c r="D49" s="23" t="n">
        <x:v>2</x:v>
      </x:c>
      <x:c r="E49" s="23" t="n">
        <x:v>643.67</x:v>
      </x:c>
      <x:c r="F49" s="23" t="n">
        <x:v>486</x:v>
      </x:c>
      <x:c r="G49" s="24"/>
      <x:c r="H49" s="23" t="str">
        <x:f>IF(G49="","",D49*G49)</x:f>
      </x:c>
      <x:c r="I49" s="23" t="n">
        <x:f>IF(F49="","",D49*F49)</x:f>
        <x:v>972</x:v>
      </x:c>
      <x:c r="J49" s="23" t="str">
        <x:f>IF(OR(G49="",F49=""),"",G49-F49)</x:f>
      </x:c>
      <x:c r="K49" s="25" t="str">
        <x:f>IF(OR(G49="",G49=0,F49=""),"",J49/G49)</x:f>
      </x:c>
      <x:c r="L49" s="22"/>
      <x:c r="M49" s="22"/>
      <x:c r="N49" s="22" t="str">
        <x:v>READY_FOR_SOLVE</x:v>
      </x:c>
      <x:c r="O49" s="22" t="str">
        <x:v>投标单价待 Phase 1/2 解输出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2" t="str">
        <x:v>030408006003</x:v>
      </x:c>
      <x:c r="B50" s="22" t="str">
        <x:v>终端电缆头-3*185mm2</x:v>
      </x:c>
      <x:c r="C50" s="22" t="str">
        <x:v>个</x:v>
      </x:c>
      <x:c r="D50" s="23" t="n">
        <x:v>2</x:v>
      </x:c>
      <x:c r="E50" s="23" t="n">
        <x:v>924.17</x:v>
      </x:c>
      <x:c r="F50" s="23" t="n">
        <x:v>700</x:v>
      </x:c>
      <x:c r="G50" s="24"/>
      <x:c r="H50" s="23" t="str">
        <x:f>IF(G50="","",D50*G50)</x:f>
      </x:c>
      <x:c r="I50" s="23" t="n">
        <x:f>IF(F50="","",D50*F50)</x:f>
        <x:v>1400</x:v>
      </x:c>
      <x:c r="J50" s="23" t="str">
        <x:f>IF(OR(G50="",F50=""),"",G50-F50)</x:f>
      </x:c>
      <x:c r="K50" s="25" t="str">
        <x:f>IF(OR(G50="",G50=0,F50=""),"",J50/G50)</x:f>
      </x:c>
      <x:c r="L50" s="22"/>
      <x:c r="M50" s="22"/>
      <x:c r="N50" s="22" t="str">
        <x:v>READY_FOR_SOLVE</x:v>
      </x:c>
      <x:c r="O50" s="22" t="str">
        <x:v>投标单价待 Phase 1/2 解输出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2" t="str">
        <x:v>030408006004</x:v>
      </x:c>
      <x:c r="B51" s="22" t="str">
        <x:v>户外中间电缆头-3*185mm2</x:v>
      </x:c>
      <x:c r="C51" s="22" t="str">
        <x:v>个</x:v>
      </x:c>
      <x:c r="D51" s="23" t="n">
        <x:v>1</x:v>
      </x:c>
      <x:c r="E51" s="23" t="n">
        <x:v>1617.42</x:v>
      </x:c>
      <x:c r="F51" s="23" t="n">
        <x:v>1202</x:v>
      </x:c>
      <x:c r="G51" s="24"/>
      <x:c r="H51" s="23" t="str">
        <x:f>IF(G51="","",D51*G51)</x:f>
      </x:c>
      <x:c r="I51" s="23" t="n">
        <x:f>IF(F51="","",D51*F51)</x:f>
        <x:v>1202</x:v>
      </x:c>
      <x:c r="J51" s="23" t="str">
        <x:f>IF(OR(G51="",F51=""),"",G51-F51)</x:f>
      </x:c>
      <x:c r="K51" s="25" t="str">
        <x:f>IF(OR(G51="",G51=0,F51=""),"",J51/G51)</x:f>
      </x:c>
      <x:c r="L51" s="22"/>
      <x:c r="M51" s="22"/>
      <x:c r="N51" s="22" t="str">
        <x:v>READY_FOR_SOLVE</x:v>
      </x:c>
      <x:c r="O51" s="22" t="str">
        <x:v>投标单价待 Phase 1/2 解输出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2" t="str">
        <x:v>030408008001</x:v>
      </x:c>
      <x:c r="B52" s="22" t="str">
        <x:v>防火堵料</x:v>
      </x:c>
      <x:c r="C52" s="22" t="str">
        <x:v>t</x:v>
      </x:c>
      <x:c r="D52" s="23" t="n">
        <x:v>0.1</x:v>
      </x:c>
      <x:c r="E52" s="23" t="n">
        <x:v>11821.7</x:v>
      </x:c>
      <x:c r="F52" s="23" t="n">
        <x:v>3000</x:v>
      </x:c>
      <x:c r="G52" s="24"/>
      <x:c r="H52" s="23" t="str">
        <x:f>IF(G52="","",D52*G52)</x:f>
      </x:c>
      <x:c r="I52" s="23" t="n">
        <x:f>IF(F52="","",D52*F52)</x:f>
        <x:v>300</x:v>
      </x:c>
      <x:c r="J52" s="23" t="str">
        <x:f>IF(OR(G52="",F52=""),"",G52-F52)</x:f>
      </x:c>
      <x:c r="K52" s="25" t="str">
        <x:f>IF(OR(G52="",G52=0,F52=""),"",J52/G52)</x:f>
      </x:c>
      <x:c r="L52" s="22"/>
      <x:c r="M52" s="22"/>
      <x:c r="N52" s="22" t="str">
        <x:v>READY_FOR_SOLVE</x:v>
      </x:c>
      <x:c r="O52" s="22" t="str">
        <x:v>投标单价待 Phase 1/2 解输出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2" t="str">
        <x:v>030413001001</x:v>
      </x:c>
      <x:c r="B53" s="22" t="str">
        <x:v>母线槽支架</x:v>
      </x:c>
      <x:c r="C53" s="22" t="str">
        <x:v>kg</x:v>
      </x:c>
      <x:c r="D53" s="23" t="n">
        <x:v>48.44</x:v>
      </x:c>
      <x:c r="E53" s="23" t="n">
        <x:v>16.68</x:v>
      </x:c>
      <x:c r="F53" s="23" t="n">
        <x:v>18</x:v>
      </x:c>
      <x:c r="G53" s="24"/>
      <x:c r="H53" s="23" t="str">
        <x:f>IF(G53="","",D53*G53)</x:f>
      </x:c>
      <x:c r="I53" s="23" t="n">
        <x:f>IF(F53="","",D53*F53)</x:f>
        <x:v>871.92</x:v>
      </x:c>
      <x:c r="J53" s="23" t="str">
        <x:f>IF(OR(G53="",F53=""),"",G53-F53)</x:f>
      </x:c>
      <x:c r="K53" s="25" t="str">
        <x:f>IF(OR(G53="",G53=0,F53=""),"",J53/G53)</x:f>
      </x:c>
      <x:c r="L53" s="22"/>
      <x:c r="M53" s="22"/>
      <x:c r="N53" s="22" t="str">
        <x:v>READY_FOR_SOLVE</x:v>
      </x:c>
      <x:c r="O53" s="22" t="str">
        <x:v>投标单价待 Phase 1/2 解输出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2" t="str">
        <x:v>030414001001</x:v>
      </x:c>
      <x:c r="B54" s="22" t="str">
        <x:v>电力变压器系统</x:v>
      </x:c>
      <x:c r="C54" s="22" t="str">
        <x:v>系统</x:v>
      </x:c>
      <x:c r="D54" s="23" t="n">
        <x:v>2</x:v>
      </x:c>
      <x:c r="E54" s="23" t="n">
        <x:v>4193.09</x:v>
      </x:c>
      <x:c r="F54" s="23" t="n">
        <x:v>1860</x:v>
      </x:c>
      <x:c r="G54" s="24"/>
      <x:c r="H54" s="23" t="str">
        <x:f>IF(G54="","",D54*G54)</x:f>
      </x:c>
      <x:c r="I54" s="23" t="n">
        <x:f>IF(F54="","",D54*F54)</x:f>
        <x:v>3720</x:v>
      </x:c>
      <x:c r="J54" s="23" t="str">
        <x:f>IF(OR(G54="",F54=""),"",G54-F54)</x:f>
      </x:c>
      <x:c r="K54" s="25" t="str">
        <x:f>IF(OR(G54="",G54=0,F54=""),"",J54/G54)</x:f>
      </x:c>
      <x:c r="L54" s="22"/>
      <x:c r="M54" s="22"/>
      <x:c r="N54" s="22" t="str">
        <x:v>READY_FOR_SOLVE</x:v>
      </x:c>
      <x:c r="O54" s="22" t="str">
        <x:v>投标单价待 Phase 1/2 解输出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22" t="str">
        <x:v>030414002001</x:v>
      </x:c>
      <x:c r="B55" s="22" t="str">
        <x:v>整套启动调试</x:v>
      </x:c>
      <x:c r="C55" s="22" t="str">
        <x:v>系统</x:v>
      </x:c>
      <x:c r="D55" s="23" t="n">
        <x:v>1</x:v>
      </x:c>
      <x:c r="E55" s="23" t="n">
        <x:v>1734.01</x:v>
      </x:c>
      <x:c r="F55" s="23" t="n">
        <x:v>851</x:v>
      </x:c>
      <x:c r="G55" s="24"/>
      <x:c r="H55" s="23" t="str">
        <x:f>IF(G55="","",D55*G55)</x:f>
      </x:c>
      <x:c r="I55" s="23" t="n">
        <x:f>IF(F55="","",D55*F55)</x:f>
        <x:v>851</x:v>
      </x:c>
      <x:c r="J55" s="23" t="str">
        <x:f>IF(OR(G55="",F55=""),"",G55-F55)</x:f>
      </x:c>
      <x:c r="K55" s="25" t="str">
        <x:f>IF(OR(G55="",G55=0,F55=""),"",J55/G55)</x:f>
      </x:c>
      <x:c r="L55" s="22"/>
      <x:c r="M55" s="22"/>
      <x:c r="N55" s="22" t="str">
        <x:v>READY_FOR_SOLVE</x:v>
      </x:c>
      <x:c r="O55" s="22" t="str">
        <x:v>投标单价待 Phase 1/2 解输出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22" t="str">
        <x:v>030414002002</x:v>
      </x:c>
      <x:c r="B56" s="22" t="str">
        <x:v>10KV送配电装置系统</x:v>
      </x:c>
      <x:c r="C56" s="22" t="str">
        <x:v>系统</x:v>
      </x:c>
      <x:c r="D56" s="23" t="n">
        <x:v>7</x:v>
      </x:c>
      <x:c r="E56" s="23" t="n">
        <x:v>1373.49</x:v>
      </x:c>
      <x:c r="F56" s="23" t="n">
        <x:v>653</x:v>
      </x:c>
      <x:c r="G56" s="24"/>
      <x:c r="H56" s="23" t="str">
        <x:f>IF(G56="","",D56*G56)</x:f>
      </x:c>
      <x:c r="I56" s="23" t="n">
        <x:f>IF(F56="","",D56*F56)</x:f>
        <x:v>4571</x:v>
      </x:c>
      <x:c r="J56" s="23" t="str">
        <x:f>IF(OR(G56="",F56=""),"",G56-F56)</x:f>
      </x:c>
      <x:c r="K56" s="25" t="str">
        <x:f>IF(OR(G56="",G56=0,F56=""),"",J56/G56)</x:f>
      </x:c>
      <x:c r="L56" s="22"/>
      <x:c r="M56" s="22"/>
      <x:c r="N56" s="22" t="str">
        <x:v>READY_FOR_SOLVE</x:v>
      </x:c>
      <x:c r="O56" s="22" t="str">
        <x:v>投标单价待 Phase 1/2 解输出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22" t="str">
        <x:v>030414002003</x:v>
      </x:c>
      <x:c r="B57" s="22" t="str">
        <x:v>1KV送配电装置系统（综合）</x:v>
      </x:c>
      <x:c r="C57" s="22" t="str">
        <x:v>系统</x:v>
      </x:c>
      <x:c r="D57" s="23" t="n">
        <x:v>14</x:v>
      </x:c>
      <x:c r="E57" s="23" t="n">
        <x:v>394.48</x:v>
      </x:c>
      <x:c r="F57" s="23" t="n">
        <x:v>194</x:v>
      </x:c>
      <x:c r="G57" s="24"/>
      <x:c r="H57" s="23" t="str">
        <x:f>IF(G57="","",D57*G57)</x:f>
      </x:c>
      <x:c r="I57" s="23" t="n">
        <x:f>IF(F57="","",D57*F57)</x:f>
        <x:v>2716</x:v>
      </x:c>
      <x:c r="J57" s="23" t="str">
        <x:f>IF(OR(G57="",F57=""),"",G57-F57)</x:f>
      </x:c>
      <x:c r="K57" s="25" t="str">
        <x:f>IF(OR(G57="",G57=0,F57=""),"",J57/G57)</x:f>
      </x:c>
      <x:c r="L57" s="22"/>
      <x:c r="M57" s="22"/>
      <x:c r="N57" s="22" t="str">
        <x:v>READY_FOR_SOLVE</x:v>
      </x:c>
      <x:c r="O57" s="22" t="str">
        <x:v>投标单价待 Phase 1/2 解输出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22" t="str">
        <x:v>030414002004</x:v>
      </x:c>
      <x:c r="B58" s="22" t="str">
        <x:v>1KV送配电装置系统（直流供电）</x:v>
      </x:c>
      <x:c r="C58" s="22" t="str">
        <x:v>系统</x:v>
      </x:c>
      <x:c r="D58" s="23" t="n">
        <x:v>1</x:v>
      </x:c>
      <x:c r="E58" s="23" t="n">
        <x:v>815.3</x:v>
      </x:c>
      <x:c r="F58" s="23" t="n">
        <x:v>371</x:v>
      </x:c>
      <x:c r="G58" s="24"/>
      <x:c r="H58" s="23" t="str">
        <x:f>IF(G58="","",D58*G58)</x:f>
      </x:c>
      <x:c r="I58" s="23" t="n">
        <x:f>IF(F58="","",D58*F58)</x:f>
        <x:v>371</x:v>
      </x:c>
      <x:c r="J58" s="23" t="str">
        <x:f>IF(OR(G58="",F58=""),"",G58-F58)</x:f>
      </x:c>
      <x:c r="K58" s="25" t="str">
        <x:f>IF(OR(G58="",G58=0,F58=""),"",J58/G58)</x:f>
      </x:c>
      <x:c r="L58" s="22"/>
      <x:c r="M58" s="22"/>
      <x:c r="N58" s="22" t="str">
        <x:v>READY_FOR_SOLVE</x:v>
      </x:c>
      <x:c r="O58" s="22" t="str">
        <x:v>投标单价待 Phase 1/2 解输出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22" t="str">
        <x:v>030414008001</x:v>
      </x:c>
      <x:c r="B59" s="22" t="str">
        <x:v>母线系统调试</x:v>
      </x:c>
      <x:c r="C59" s="22" t="str">
        <x:v>段</x:v>
      </x:c>
      <x:c r="D59" s="23" t="n">
        <x:v>2</x:v>
      </x:c>
      <x:c r="E59" s="23" t="n">
        <x:v>1406.69</x:v>
      </x:c>
      <x:c r="F59" s="23" t="n">
        <x:v>675</x:v>
      </x:c>
      <x:c r="G59" s="24"/>
      <x:c r="H59" s="23" t="str">
        <x:f>IF(G59="","",D59*G59)</x:f>
      </x:c>
      <x:c r="I59" s="23" t="n">
        <x:f>IF(F59="","",D59*F59)</x:f>
        <x:v>1350</x:v>
      </x:c>
      <x:c r="J59" s="23" t="str">
        <x:f>IF(OR(G59="",F59=""),"",G59-F59)</x:f>
      </x:c>
      <x:c r="K59" s="25" t="str">
        <x:f>IF(OR(G59="",G59=0,F59=""),"",J59/G59)</x:f>
      </x:c>
      <x:c r="L59" s="22"/>
      <x:c r="M59" s="22"/>
      <x:c r="N59" s="22" t="str">
        <x:v>READY_FOR_SOLVE</x:v>
      </x:c>
      <x:c r="O59" s="22" t="str">
        <x:v>投标单价待 Phase 1/2 解输出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22" t="str">
        <x:v>030414015001</x:v>
      </x:c>
      <x:c r="B60" s="22" t="str">
        <x:v>电缆试验</x:v>
      </x:c>
      <x:c r="C60" s="22" t="str">
        <x:v>根</x:v>
      </x:c>
      <x:c r="D60" s="23" t="n">
        <x:v>3</x:v>
      </x:c>
      <x:c r="E60" s="23" t="n">
        <x:v>5639.65</x:v>
      </x:c>
      <x:c r="F60" s="23" t="n">
        <x:v>2430</x:v>
      </x:c>
      <x:c r="G60" s="24"/>
      <x:c r="H60" s="23" t="str">
        <x:f>IF(G60="","",D60*G60)</x:f>
      </x:c>
      <x:c r="I60" s="23" t="n">
        <x:f>IF(F60="","",D60*F60)</x:f>
        <x:v>7290</x:v>
      </x:c>
      <x:c r="J60" s="23" t="str">
        <x:f>IF(OR(G60="",F60=""),"",G60-F60)</x:f>
      </x:c>
      <x:c r="K60" s="25" t="str">
        <x:f>IF(OR(G60="",G60=0,F60=""),"",J60/G60)</x:f>
      </x:c>
      <x:c r="L60" s="22"/>
      <x:c r="M60" s="22"/>
      <x:c r="N60" s="22" t="str">
        <x:v>READY_FOR_SOLVE</x:v>
      </x:c>
      <x:c r="O60" s="22" t="str">
        <x:v>投标单价待 Phase 1/2 解输出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22" t="str">
        <x:v>031301017001</x:v>
      </x:c>
      <x:c r="B61" s="22" t="str">
        <x:v>脚手架搭拆</x:v>
      </x:c>
      <x:c r="C61" s="22" t="str">
        <x:v>项</x:v>
      </x:c>
      <x:c r="D61" s="23" t="n">
        <x:v>1</x:v>
      </x:c>
      <x:c r="E61" s="23"/>
      <x:c r="F61" s="23"/>
      <x:c r="G61" s="24"/>
      <x:c r="H61" s="23" t="str">
        <x:f>IF(G61="","",D61*G61)</x:f>
      </x:c>
      <x:c r="I61" s="23" t="str">
        <x:f>IF(F61="","",D61*F61)</x:f>
      </x:c>
      <x:c r="J61" s="23" t="str">
        <x:f>IF(OR(G61="",F61=""),"",G61-F61)</x:f>
      </x:c>
      <x:c r="K61" s="25" t="str">
        <x:f>IF(OR(G61="",G61=0,F61=""),"",J61/G61)</x:f>
      </x:c>
      <x:c r="L61" s="22"/>
      <x:c r="M61" s="22"/>
      <x:c r="N61" s="22" t="str">
        <x:v>COST_REQUIRED</x:v>
      </x:c>
      <x:c r="O61" s="22" t="str">
        <x:v>缺少 c_i，不生成利润结论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22" t="str">
        <x:v>03B001</x:v>
      </x:c>
      <x:c r="B62" s="22" t="str">
        <x:v>阻燃防爆盒</x:v>
      </x:c>
      <x:c r="C62" s="22" t="str">
        <x:v>个</x:v>
      </x:c>
      <x:c r="D62" s="23" t="n">
        <x:v>1</x:v>
      </x:c>
      <x:c r="E62" s="23" t="n">
        <x:v>1327.43</x:v>
      </x:c>
      <x:c r="F62" s="23" t="n">
        <x:v>979</x:v>
      </x:c>
      <x:c r="G62" s="24"/>
      <x:c r="H62" s="23" t="str">
        <x:f>IF(G62="","",D62*G62)</x:f>
      </x:c>
      <x:c r="I62" s="23" t="n">
        <x:f>IF(F62="","",D62*F62)</x:f>
        <x:v>979</x:v>
      </x:c>
      <x:c r="J62" s="23" t="str">
        <x:f>IF(OR(G62="",F62=""),"",G62-F62)</x:f>
      </x:c>
      <x:c r="K62" s="25" t="str">
        <x:f>IF(OR(G62="",G62=0,F62=""),"",J62/G62)</x:f>
      </x:c>
      <x:c r="L62" s="22"/>
      <x:c r="M62" s="22"/>
      <x:c r="N62" s="22" t="str">
        <x:v>READY_FOR_SOLVE</x:v>
      </x:c>
      <x:c r="O62" s="22" t="str">
        <x:v>投标单价待 Phase 1/2 解输出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22" t="str">
        <x:v>03B002</x:v>
      </x:c>
      <x:c r="B63" s="22" t="str">
        <x:v>气溶胶灭火装置0.15kg</x:v>
      </x:c>
      <x:c r="C63" s="22" t="str">
        <x:v>套</x:v>
      </x:c>
      <x:c r="D63" s="23" t="n">
        <x:v>1</x:v>
      </x:c>
      <x:c r="E63" s="23" t="n">
        <x:v>212.39</x:v>
      </x:c>
      <x:c r="F63" s="23" t="n">
        <x:v>93</x:v>
      </x:c>
      <x:c r="G63" s="24"/>
      <x:c r="H63" s="23" t="str">
        <x:f>IF(G63="","",D63*G63)</x:f>
      </x:c>
      <x:c r="I63" s="23" t="n">
        <x:f>IF(F63="","",D63*F63)</x:f>
        <x:v>93</x:v>
      </x:c>
      <x:c r="J63" s="23" t="str">
        <x:f>IF(OR(G63="",F63=""),"",G63-F63)</x:f>
      </x:c>
      <x:c r="K63" s="25" t="str">
        <x:f>IF(OR(G63="",G63=0,F63=""),"",J63/G63)</x:f>
      </x:c>
      <x:c r="L63" s="22"/>
      <x:c r="M63" s="22"/>
      <x:c r="N63" s="22" t="str">
        <x:v>READY_FOR_SOLVE</x:v>
      </x:c>
      <x:c r="O63" s="22" t="str">
        <x:v>投标单价待 Phase 1/2 解输出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22" t="str">
        <x:v>03B003</x:v>
      </x:c>
      <x:c r="B64" s="22" t="str">
        <x:v>高压绝缘手套</x:v>
      </x:c>
      <x:c r="C64" s="22" t="str">
        <x:v>套</x:v>
      </x:c>
      <x:c r="D64" s="23" t="n">
        <x:v>2</x:v>
      </x:c>
      <x:c r="E64" s="23" t="n">
        <x:v>140</x:v>
      </x:c>
      <x:c r="F64" s="23" t="n">
        <x:v>58</x:v>
      </x:c>
      <x:c r="G64" s="24"/>
      <x:c r="H64" s="23" t="str">
        <x:f>IF(G64="","",D64*G64)</x:f>
      </x:c>
      <x:c r="I64" s="23" t="n">
        <x:f>IF(F64="","",D64*F64)</x:f>
        <x:v>116</x:v>
      </x:c>
      <x:c r="J64" s="23" t="str">
        <x:f>IF(OR(G64="",F64=""),"",G64-F64)</x:f>
      </x:c>
      <x:c r="K64" s="25" t="str">
        <x:f>IF(OR(G64="",G64=0,F64=""),"",J64/G64)</x:f>
      </x:c>
      <x:c r="L64" s="22"/>
      <x:c r="M64" s="22"/>
      <x:c r="N64" s="22" t="str">
        <x:v>READY_FOR_SOLVE</x:v>
      </x:c>
      <x:c r="O64" s="22" t="str">
        <x:v>投标单价待 Phase 1/2 解输出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22" t="str">
        <x:v>03B004</x:v>
      </x:c>
      <x:c r="B65" s="22" t="str">
        <x:v>高压绝缘靴</x:v>
      </x:c>
      <x:c r="C65" s="22" t="str">
        <x:v>套</x:v>
      </x:c>
      <x:c r="D65" s="23" t="n">
        <x:v>2</x:v>
      </x:c>
      <x:c r="E65" s="23" t="n">
        <x:v>66.37</x:v>
      </x:c>
      <x:c r="F65" s="23" t="n">
        <x:v>28</x:v>
      </x:c>
      <x:c r="G65" s="24"/>
      <x:c r="H65" s="23" t="str">
        <x:f>IF(G65="","",D65*G65)</x:f>
      </x:c>
      <x:c r="I65" s="23" t="n">
        <x:f>IF(F65="","",D65*F65)</x:f>
        <x:v>56</x:v>
      </x:c>
      <x:c r="J65" s="23" t="str">
        <x:f>IF(OR(G65="",F65=""),"",G65-F65)</x:f>
      </x:c>
      <x:c r="K65" s="25" t="str">
        <x:f>IF(OR(G65="",G65=0,F65=""),"",J65/G65)</x:f>
      </x:c>
      <x:c r="L65" s="22"/>
      <x:c r="M65" s="22"/>
      <x:c r="N65" s="22" t="str">
        <x:v>READY_FOR_SOLVE</x:v>
      </x:c>
      <x:c r="O65" s="22" t="str">
        <x:v>投标单价待 Phase 1/2 解输出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22" t="str">
        <x:v>03B005</x:v>
      </x:c>
      <x:c r="B66" s="22" t="str">
        <x:v>高压绝缘隔板</x:v>
      </x:c>
      <x:c r="C66" s="22" t="str">
        <x:v>套</x:v>
      </x:c>
      <x:c r="D66" s="23" t="n">
        <x:v>2</x:v>
      </x:c>
      <x:c r="E66" s="23" t="n">
        <x:v>800</x:v>
      </x:c>
      <x:c r="F66" s="23" t="n">
        <x:v>333</x:v>
      </x:c>
      <x:c r="G66" s="24"/>
      <x:c r="H66" s="23" t="str">
        <x:f>IF(G66="","",D66*G66)</x:f>
      </x:c>
      <x:c r="I66" s="23" t="n">
        <x:f>IF(F66="","",D66*F66)</x:f>
        <x:v>666</x:v>
      </x:c>
      <x:c r="J66" s="23" t="str">
        <x:f>IF(OR(G66="",F66=""),"",G66-F66)</x:f>
      </x:c>
      <x:c r="K66" s="25" t="str">
        <x:f>IF(OR(G66="",G66=0,F66=""),"",J66/G66)</x:f>
      </x:c>
      <x:c r="L66" s="22"/>
      <x:c r="M66" s="22"/>
      <x:c r="N66" s="22" t="str">
        <x:v>READY_FOR_SOLVE</x:v>
      </x:c>
      <x:c r="O66" s="22" t="str">
        <x:v>投标单价待 Phase 1/2 解输出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22" t="str">
        <x:v>03B006</x:v>
      </x:c>
      <x:c r="B67" s="22" t="str">
        <x:v>高压验电笔</x:v>
      </x:c>
      <x:c r="C67" s="22" t="str">
        <x:v>套</x:v>
      </x:c>
      <x:c r="D67" s="23" t="n">
        <x:v>1</x:v>
      </x:c>
      <x:c r="E67" s="23" t="n">
        <x:v>150</x:v>
      </x:c>
      <x:c r="F67" s="23" t="n">
        <x:v>62</x:v>
      </x:c>
      <x:c r="G67" s="24"/>
      <x:c r="H67" s="23" t="str">
        <x:f>IF(G67="","",D67*G67)</x:f>
      </x:c>
      <x:c r="I67" s="23" t="n">
        <x:f>IF(F67="","",D67*F67)</x:f>
        <x:v>62</x:v>
      </x:c>
      <x:c r="J67" s="23" t="str">
        <x:f>IF(OR(G67="",F67=""),"",G67-F67)</x:f>
      </x:c>
      <x:c r="K67" s="25" t="str">
        <x:f>IF(OR(G67="",G67=0,F67=""),"",J67/G67)</x:f>
      </x:c>
      <x:c r="L67" s="22"/>
      <x:c r="M67" s="22"/>
      <x:c r="N67" s="22" t="str">
        <x:v>READY_FOR_SOLVE</x:v>
      </x:c>
      <x:c r="O67" s="22" t="str">
        <x:v>投标单价待 Phase 1/2 解输出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22" t="str">
        <x:v>03B007</x:v>
      </x:c>
      <x:c r="B68" s="22" t="str">
        <x:v>户内接地线</x:v>
      </x:c>
      <x:c r="C68" s="22" t="str">
        <x:v>套</x:v>
      </x:c>
      <x:c r="D68" s="23" t="n">
        <x:v>2</x:v>
      </x:c>
      <x:c r="E68" s="23" t="n">
        <x:v>300</x:v>
      </x:c>
      <x:c r="F68" s="23" t="n">
        <x:v>130</x:v>
      </x:c>
      <x:c r="G68" s="24"/>
      <x:c r="H68" s="23" t="str">
        <x:f>IF(G68="","",D68*G68)</x:f>
      </x:c>
      <x:c r="I68" s="23" t="n">
        <x:f>IF(F68="","",D68*F68)</x:f>
        <x:v>260</x:v>
      </x:c>
      <x:c r="J68" s="23" t="str">
        <x:f>IF(OR(G68="",F68=""),"",G68-F68)</x:f>
      </x:c>
      <x:c r="K68" s="25" t="str">
        <x:f>IF(OR(G68="",G68=0,F68=""),"",J68/G68)</x:f>
      </x:c>
      <x:c r="L68" s="22"/>
      <x:c r="M68" s="22"/>
      <x:c r="N68" s="22" t="str">
        <x:v>READY_FOR_SOLVE</x:v>
      </x:c>
      <x:c r="O68" s="22" t="str">
        <x:v>投标单价待 Phase 1/2 解输出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22" t="str">
        <x:v>03B008</x:v>
      </x:c>
      <x:c r="B69" s="22" t="str">
        <x:v>安全隔离网</x:v>
      </x:c>
      <x:c r="C69" s="22" t="str">
        <x:v>块</x:v>
      </x:c>
      <x:c r="D69" s="23" t="n">
        <x:v>2</x:v>
      </x:c>
      <x:c r="E69" s="23" t="n">
        <x:v>327.43</x:v>
      </x:c>
      <x:c r="F69" s="23" t="n">
        <x:v>136</x:v>
      </x:c>
      <x:c r="G69" s="24"/>
      <x:c r="H69" s="23" t="str">
        <x:f>IF(G69="","",D69*G69)</x:f>
      </x:c>
      <x:c r="I69" s="23" t="n">
        <x:f>IF(F69="","",D69*F69)</x:f>
        <x:v>272</x:v>
      </x:c>
      <x:c r="J69" s="23" t="str">
        <x:f>IF(OR(G69="",F69=""),"",G69-F69)</x:f>
      </x:c>
      <x:c r="K69" s="25" t="str">
        <x:f>IF(OR(G69="",G69=0,F69=""),"",J69/G69)</x:f>
      </x:c>
      <x:c r="L69" s="22"/>
      <x:c r="M69" s="22"/>
      <x:c r="N69" s="22" t="str">
        <x:v>READY_FOR_SOLVE</x:v>
      </x:c>
      <x:c r="O69" s="22" t="str">
        <x:v>投标单价待 Phase 1/2 解输出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22" t="str">
        <x:v>03B009</x:v>
      </x:c>
      <x:c r="B70" s="22" t="str">
        <x:v>绝缘胶垫</x:v>
      </x:c>
      <x:c r="C70" s="22" t="str">
        <x:v>m</x:v>
      </x:c>
      <x:c r="D70" s="23" t="n">
        <x:v>50</x:v>
      </x:c>
      <x:c r="E70" s="23" t="n">
        <x:v>30</x:v>
      </x:c>
      <x:c r="F70" s="23" t="n">
        <x:v>12</x:v>
      </x:c>
      <x:c r="G70" s="24"/>
      <x:c r="H70" s="23" t="str">
        <x:f>IF(G70="","",D70*G70)</x:f>
      </x:c>
      <x:c r="I70" s="23" t="n">
        <x:f>IF(F70="","",D70*F70)</x:f>
        <x:v>600</x:v>
      </x:c>
      <x:c r="J70" s="23" t="str">
        <x:f>IF(OR(G70="",F70=""),"",G70-F70)</x:f>
      </x:c>
      <x:c r="K70" s="25" t="str">
        <x:f>IF(OR(G70="",G70=0,F70=""),"",J70/G70)</x:f>
      </x:c>
      <x:c r="L70" s="22"/>
      <x:c r="M70" s="22"/>
      <x:c r="N70" s="22" t="str">
        <x:v>READY_FOR_SOLVE</x:v>
      </x:c>
      <x:c r="O70" s="22" t="str">
        <x:v>投标单价待 Phase 1/2 解输出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22" t="str">
        <x:v>03B010</x:v>
      </x:c>
      <x:c r="B71" s="22" t="str">
        <x:v>档鼠板0.9m*0.6m</x:v>
      </x:c>
      <x:c r="C71" s="22" t="str">
        <x:v>块</x:v>
      </x:c>
      <x:c r="D71" s="23" t="n">
        <x:v>1</x:v>
      </x:c>
      <x:c r="E71" s="23" t="n">
        <x:v>60</x:v>
      </x:c>
      <x:c r="F71" s="23" t="n">
        <x:v>25</x:v>
      </x:c>
      <x:c r="G71" s="24"/>
      <x:c r="H71" s="23" t="str">
        <x:f>IF(G71="","",D71*G71)</x:f>
      </x:c>
      <x:c r="I71" s="23" t="n">
        <x:f>IF(F71="","",D71*F71)</x:f>
        <x:v>25</x:v>
      </x:c>
      <x:c r="J71" s="23" t="str">
        <x:f>IF(OR(G71="",F71=""),"",G71-F71)</x:f>
      </x:c>
      <x:c r="K71" s="25" t="str">
        <x:f>IF(OR(G71="",G71=0,F71=""),"",J71/G71)</x:f>
      </x:c>
      <x:c r="L71" s="22"/>
      <x:c r="M71" s="22"/>
      <x:c r="N71" s="22" t="str">
        <x:v>READY_FOR_SOLVE</x:v>
      </x:c>
      <x:c r="O71" s="22" t="str">
        <x:v>投标单价待 Phase 1/2 解输出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22" t="str">
        <x:v>03B011</x:v>
      </x:c>
      <x:c r="B72" s="22" t="str">
        <x:v>档鼠板1.7m*0.6m</x:v>
      </x:c>
      <x:c r="C72" s="22" t="str">
        <x:v>块</x:v>
      </x:c>
      <x:c r="D72" s="23" t="n">
        <x:v>1</x:v>
      </x:c>
      <x:c r="E72" s="23" t="n">
        <x:v>60</x:v>
      </x:c>
      <x:c r="F72" s="23" t="n">
        <x:v>25</x:v>
      </x:c>
      <x:c r="G72" s="24"/>
      <x:c r="H72" s="23" t="str">
        <x:f>IF(G72="","",D72*G72)</x:f>
      </x:c>
      <x:c r="I72" s="23" t="n">
        <x:f>IF(F72="","",D72*F72)</x:f>
        <x:v>25</x:v>
      </x:c>
      <x:c r="J72" s="23" t="str">
        <x:f>IF(OR(G72="",F72=""),"",G72-F72)</x:f>
      </x:c>
      <x:c r="K72" s="25" t="str">
        <x:f>IF(OR(G72="",G72=0,F72=""),"",J72/G72)</x:f>
      </x:c>
      <x:c r="L72" s="22"/>
      <x:c r="M72" s="22"/>
      <x:c r="N72" s="22" t="str">
        <x:v>READY_FOR_SOLVE</x:v>
      </x:c>
      <x:c r="O72" s="22" t="str">
        <x:v>投标单价待 Phase 1/2 解输出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22" t="str">
        <x:v>03B012</x:v>
      </x:c>
      <x:c r="B73" s="22" t="str">
        <x:v>专用门锁</x:v>
      </x:c>
      <x:c r="C73" s="22" t="str">
        <x:v>把</x:v>
      </x:c>
      <x:c r="D73" s="23" t="n">
        <x:v>2</x:v>
      </x:c>
      <x:c r="E73" s="23" t="n">
        <x:v>50</x:v>
      </x:c>
      <x:c r="F73" s="23" t="n">
        <x:v>21</x:v>
      </x:c>
      <x:c r="G73" s="24"/>
      <x:c r="H73" s="23" t="str">
        <x:f>IF(G73="","",D73*G73)</x:f>
      </x:c>
      <x:c r="I73" s="23" t="n">
        <x:f>IF(F73="","",D73*F73)</x:f>
        <x:v>42</x:v>
      </x:c>
      <x:c r="J73" s="23" t="str">
        <x:f>IF(OR(G73="",F73=""),"",G73-F73)</x:f>
      </x:c>
      <x:c r="K73" s="25" t="str">
        <x:f>IF(OR(G73="",G73=0,F73=""),"",J73/G73)</x:f>
      </x:c>
      <x:c r="L73" s="22"/>
      <x:c r="M73" s="22"/>
      <x:c r="N73" s="22" t="str">
        <x:v>READY_FOR_SOLVE</x:v>
      </x:c>
      <x:c r="O73" s="22" t="str">
        <x:v>投标单价待 Phase 1/2 解输出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22" t="str">
        <x:v>03B013</x:v>
      </x:c>
      <x:c r="B74" s="22" t="str">
        <x:v>安全帽</x:v>
      </x:c>
      <x:c r="C74" s="22" t="str">
        <x:v>个</x:v>
      </x:c>
      <x:c r="D74" s="23" t="n">
        <x:v>2</x:v>
      </x:c>
      <x:c r="E74" s="23" t="n">
        <x:v>50</x:v>
      </x:c>
      <x:c r="F74" s="23" t="n">
        <x:v>21</x:v>
      </x:c>
      <x:c r="G74" s="24"/>
      <x:c r="H74" s="23" t="str">
        <x:f>IF(G74="","",D74*G74)</x:f>
      </x:c>
      <x:c r="I74" s="23" t="n">
        <x:f>IF(F74="","",D74*F74)</x:f>
        <x:v>42</x:v>
      </x:c>
      <x:c r="J74" s="23" t="str">
        <x:f>IF(OR(G74="",F74=""),"",G74-F74)</x:f>
      </x:c>
      <x:c r="K74" s="25" t="str">
        <x:f>IF(OR(G74="",G74=0,F74=""),"",J74/G74)</x:f>
      </x:c>
      <x:c r="L74" s="22"/>
      <x:c r="M74" s="22"/>
      <x:c r="N74" s="22" t="str">
        <x:v>READY_FOR_SOLVE</x:v>
      </x:c>
      <x:c r="O74" s="22" t="str">
        <x:v>投标单价待 Phase 1/2 解输出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22" t="str">
        <x:v>03B014</x:v>
      </x:c>
      <x:c r="B75" s="22" t="str">
        <x:v>工具、钥匙柜</x:v>
      </x:c>
      <x:c r="C75" s="22" t="str">
        <x:v>个</x:v>
      </x:c>
      <x:c r="D75" s="23" t="n">
        <x:v>1</x:v>
      </x:c>
      <x:c r="E75" s="23" t="n">
        <x:v>300</x:v>
      </x:c>
      <x:c r="F75" s="23" t="n">
        <x:v>125</x:v>
      </x:c>
      <x:c r="G75" s="24"/>
      <x:c r="H75" s="23" t="str">
        <x:f>IF(G75="","",D75*G75)</x:f>
      </x:c>
      <x:c r="I75" s="23" t="n">
        <x:f>IF(F75="","",D75*F75)</x:f>
        <x:v>125</x:v>
      </x:c>
      <x:c r="J75" s="23" t="str">
        <x:f>IF(OR(G75="",F75=""),"",G75-F75)</x:f>
      </x:c>
      <x:c r="K75" s="25" t="str">
        <x:f>IF(OR(G75="",G75=0,F75=""),"",J75/G75)</x:f>
      </x:c>
      <x:c r="L75" s="22"/>
      <x:c r="M75" s="22"/>
      <x:c r="N75" s="22" t="str">
        <x:v>READY_FOR_SOLVE</x:v>
      </x:c>
      <x:c r="O75" s="22" t="str">
        <x:v>投标单价待 Phase 1/2 解输出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22" t="str">
        <x:v>040205004001</x:v>
      </x:c>
      <x:c r="B76" s="22" t="str">
        <x:v>止步、高压危险 标识牌</x:v>
      </x:c>
      <x:c r="C76" s="22" t="str">
        <x:v>块</x:v>
      </x:c>
      <x:c r="D76" s="23" t="n">
        <x:v>2</x:v>
      </x:c>
      <x:c r="E76" s="23" t="n">
        <x:v>53.49</x:v>
      </x:c>
      <x:c r="F76" s="23" t="n">
        <x:v>22</x:v>
      </x:c>
      <x:c r="G76" s="24"/>
      <x:c r="H76" s="23" t="str">
        <x:f>IF(G76="","",D76*G76)</x:f>
      </x:c>
      <x:c r="I76" s="23" t="n">
        <x:f>IF(F76="","",D76*F76)</x:f>
        <x:v>44</x:v>
      </x:c>
      <x:c r="J76" s="23" t="str">
        <x:f>IF(OR(G76="",F76=""),"",G76-F76)</x:f>
      </x:c>
      <x:c r="K76" s="25" t="str">
        <x:f>IF(OR(G76="",G76=0,F76=""),"",J76/G76)</x:f>
      </x:c>
      <x:c r="L76" s="22"/>
      <x:c r="M76" s="22"/>
      <x:c r="N76" s="22" t="str">
        <x:v>READY_FOR_SOLVE</x:v>
      </x:c>
      <x:c r="O76" s="22" t="str">
        <x:v>投标单价待 Phase 1/2 解输出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22" t="str">
        <x:v>040205004002</x:v>
      </x:c>
      <x:c r="B77" s="22" t="str">
        <x:v>配电重地、闲人免进 标识牌</x:v>
      </x:c>
      <x:c r="C77" s="22" t="str">
        <x:v>块</x:v>
      </x:c>
      <x:c r="D77" s="23" t="n">
        <x:v>2</x:v>
      </x:c>
      <x:c r="E77" s="23" t="n">
        <x:v>53.49</x:v>
      </x:c>
      <x:c r="F77" s="23" t="n">
        <x:v>22</x:v>
      </x:c>
      <x:c r="G77" s="24"/>
      <x:c r="H77" s="23" t="str">
        <x:f>IF(G77="","",D77*G77)</x:f>
      </x:c>
      <x:c r="I77" s="23" t="n">
        <x:f>IF(F77="","",D77*F77)</x:f>
        <x:v>44</x:v>
      </x:c>
      <x:c r="J77" s="23" t="str">
        <x:f>IF(OR(G77="",F77=""),"",G77-F77)</x:f>
      </x:c>
      <x:c r="K77" s="25" t="str">
        <x:f>IF(OR(G77="",G77=0,F77=""),"",J77/G77)</x:f>
      </x:c>
      <x:c r="L77" s="22"/>
      <x:c r="M77" s="22"/>
      <x:c r="N77" s="22" t="str">
        <x:v>READY_FOR_SOLVE</x:v>
      </x:c>
      <x:c r="O77" s="22" t="str">
        <x:v>投标单价待 Phase 1/2 解输出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22" t="str">
        <x:v>040205004003</x:v>
      </x:c>
      <x:c r="B78" s="22" t="str">
        <x:v>配电重地、严禁烟火 标识牌</x:v>
      </x:c>
      <x:c r="C78" s="22" t="str">
        <x:v>块</x:v>
      </x:c>
      <x:c r="D78" s="23" t="n">
        <x:v>2</x:v>
      </x:c>
      <x:c r="E78" s="23" t="n">
        <x:v>53.49</x:v>
      </x:c>
      <x:c r="F78" s="23" t="n">
        <x:v>22</x:v>
      </x:c>
      <x:c r="G78" s="24"/>
      <x:c r="H78" s="23" t="str">
        <x:f>IF(G78="","",D78*G78)</x:f>
      </x:c>
      <x:c r="I78" s="23" t="n">
        <x:f>IF(F78="","",D78*F78)</x:f>
        <x:v>44</x:v>
      </x:c>
      <x:c r="J78" s="23" t="str">
        <x:f>IF(OR(G78="",F78=""),"",G78-F78)</x:f>
      </x:c>
      <x:c r="K78" s="25" t="str">
        <x:f>IF(OR(G78="",G78=0,F78=""),"",J78/G78)</x:f>
      </x:c>
      <x:c r="L78" s="22"/>
      <x:c r="M78" s="22"/>
      <x:c r="N78" s="22" t="str">
        <x:v>READY_FOR_SOLVE</x:v>
      </x:c>
      <x:c r="O78" s="22" t="str">
        <x:v>投标单价待 Phase 1/2 解输出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22" t="str">
        <x:v>040205004004</x:v>
      </x:c>
      <x:c r="B79" s="22" t="str">
        <x:v>有人工作、严禁合闸 标识牌</x:v>
      </x:c>
      <x:c r="C79" s="22" t="str">
        <x:v>块</x:v>
      </x:c>
      <x:c r="D79" s="23" t="n">
        <x:v>2</x:v>
      </x:c>
      <x:c r="E79" s="23" t="n">
        <x:v>53.49</x:v>
      </x:c>
      <x:c r="F79" s="23" t="n">
        <x:v>22</x:v>
      </x:c>
      <x:c r="G79" s="24"/>
      <x:c r="H79" s="23" t="str">
        <x:f>IF(G79="","",D79*G79)</x:f>
      </x:c>
      <x:c r="I79" s="23" t="n">
        <x:f>IF(F79="","",D79*F79)</x:f>
        <x:v>44</x:v>
      </x:c>
      <x:c r="J79" s="23" t="str">
        <x:f>IF(OR(G79="",F79=""),"",G79-F79)</x:f>
      </x:c>
      <x:c r="K79" s="25" t="str">
        <x:f>IF(OR(G79="",G79=0,F79=""),"",J79/G79)</x:f>
      </x:c>
      <x:c r="L79" s="22"/>
      <x:c r="M79" s="22"/>
      <x:c r="N79" s="22" t="str">
        <x:v>READY_FOR_SOLVE</x:v>
      </x:c>
      <x:c r="O79" s="22" t="str">
        <x:v>投标单价待 Phase 1/2 解输出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22" t="str">
        <x:v>040205004005</x:v>
      </x:c>
      <x:c r="B80" s="22" t="str">
        <x:v>“正在检修,禁止合闸” 标识牌</x:v>
      </x:c>
      <x:c r="C80" s="22" t="str">
        <x:v>块</x:v>
      </x:c>
      <x:c r="D80" s="23" t="n">
        <x:v>2</x:v>
      </x:c>
      <x:c r="E80" s="23" t="n">
        <x:v>53.49</x:v>
      </x:c>
      <x:c r="F80" s="23" t="n">
        <x:v>22</x:v>
      </x:c>
      <x:c r="G80" s="24"/>
      <x:c r="H80" s="23" t="str">
        <x:f>IF(G80="","",D80*G80)</x:f>
      </x:c>
      <x:c r="I80" s="23" t="n">
        <x:f>IF(F80="","",D80*F80)</x:f>
        <x:v>44</x:v>
      </x:c>
      <x:c r="J80" s="23" t="str">
        <x:f>IF(OR(G80="",F80=""),"",G80-F80)</x:f>
      </x:c>
      <x:c r="K80" s="25" t="str">
        <x:f>IF(OR(G80="",G80=0,F80=""),"",J80/G80)</x:f>
      </x:c>
      <x:c r="L80" s="22"/>
      <x:c r="M80" s="22"/>
      <x:c r="N80" s="22" t="str">
        <x:v>READY_FOR_SOLVE</x:v>
      </x:c>
      <x:c r="O80" s="22" t="str">
        <x:v>投标单价待 Phase 1/2 解输出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22" t="str">
        <x:v>040205004006</x:v>
      </x:c>
      <x:c r="B81" s="22" t="str">
        <x:v>线路有人工作/严禁合闸 标识牌</x:v>
      </x:c>
      <x:c r="C81" s="22" t="str">
        <x:v>块</x:v>
      </x:c>
      <x:c r="D81" s="23" t="n">
        <x:v>2</x:v>
      </x:c>
      <x:c r="E81" s="23" t="n">
        <x:v>53.49</x:v>
      </x:c>
      <x:c r="F81" s="23" t="n">
        <x:v>22</x:v>
      </x:c>
      <x:c r="G81" s="24"/>
      <x:c r="H81" s="23" t="str">
        <x:f>IF(G81="","",D81*G81)</x:f>
      </x:c>
      <x:c r="I81" s="23" t="n">
        <x:f>IF(F81="","",D81*F81)</x:f>
        <x:v>44</x:v>
      </x:c>
      <x:c r="J81" s="23" t="str">
        <x:f>IF(OR(G81="",F81=""),"",G81-F81)</x:f>
      </x:c>
      <x:c r="K81" s="25" t="str">
        <x:f>IF(OR(G81="",G81=0,F81=""),"",J81/G81)</x:f>
      </x:c>
      <x:c r="L81" s="22"/>
      <x:c r="M81" s="22"/>
      <x:c r="N81" s="22" t="str">
        <x:v>READY_FOR_SOLVE</x:v>
      </x:c>
      <x:c r="O81" s="22" t="str">
        <x:v>投标单价待 Phase 1/2 解输出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22" t="str">
        <x:v>040205004007</x:v>
      </x:c>
      <x:c r="B82" s="22" t="str">
        <x:v>配电室铭牌</x:v>
      </x:c>
      <x:c r="C82" s="22" t="str">
        <x:v>块</x:v>
      </x:c>
      <x:c r="D82" s="23" t="n">
        <x:v>2</x:v>
      </x:c>
      <x:c r="E82" s="23" t="n">
        <x:v>53.49</x:v>
      </x:c>
      <x:c r="F82" s="23" t="n">
        <x:v>22</x:v>
      </x:c>
      <x:c r="G82" s="24"/>
      <x:c r="H82" s="23" t="str">
        <x:f>IF(G82="","",D82*G82)</x:f>
      </x:c>
      <x:c r="I82" s="23" t="n">
        <x:f>IF(F82="","",D82*F82)</x:f>
        <x:v>44</x:v>
      </x:c>
      <x:c r="J82" s="23" t="str">
        <x:f>IF(OR(G82="",F82=""),"",G82-F82)</x:f>
      </x:c>
      <x:c r="K82" s="25" t="str">
        <x:f>IF(OR(G82="",G82=0,F82=""),"",J82/G82)</x:f>
      </x:c>
      <x:c r="L82" s="22"/>
      <x:c r="M82" s="22"/>
      <x:c r="N82" s="22" t="str">
        <x:v>READY_FOR_SOLVE</x:v>
      </x:c>
      <x:c r="O82" s="22" t="str">
        <x:v>投标单价待 Phase 1/2 解输出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22" t="str">
        <x:v>040205004008</x:v>
      </x:c>
      <x:c r="B83" s="22" t="str">
        <x:v>室外)“禁止吸烟”“未经许可不得入内”
“当心触电”警示牌</x:v>
      </x:c>
      <x:c r="C83" s="22" t="str">
        <x:v>块</x:v>
      </x:c>
      <x:c r="D83" s="23" t="n">
        <x:v>4</x:v>
      </x:c>
      <x:c r="E83" s="23" t="n">
        <x:v>53.49</x:v>
      </x:c>
      <x:c r="F83" s="23" t="n">
        <x:v>22</x:v>
      </x:c>
      <x:c r="G83" s="24"/>
      <x:c r="H83" s="23" t="str">
        <x:f>IF(G83="","",D83*G83)</x:f>
      </x:c>
      <x:c r="I83" s="23" t="n">
        <x:f>IF(F83="","",D83*F83)</x:f>
        <x:v>88</x:v>
      </x:c>
      <x:c r="J83" s="23" t="str">
        <x:f>IF(OR(G83="",F83=""),"",G83-F83)</x:f>
      </x:c>
      <x:c r="K83" s="25" t="str">
        <x:f>IF(OR(G83="",G83=0,F83=""),"",J83/G83)</x:f>
      </x:c>
      <x:c r="L83" s="22"/>
      <x:c r="M83" s="22"/>
      <x:c r="N83" s="22" t="str">
        <x:v>READY_FOR_SOLVE</x:v>
      </x:c>
      <x:c r="O83" s="22" t="str">
        <x:v>投标单价待 Phase 1/2 解输出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22" t="str">
        <x:v>040205004009</x:v>
      </x:c>
      <x:c r="B84" s="22" t="str">
        <x:v>灭火器使用说明牌</x:v>
      </x:c>
      <x:c r="C84" s="22" t="str">
        <x:v>块</x:v>
      </x:c>
      <x:c r="D84" s="23" t="n">
        <x:v>2</x:v>
      </x:c>
      <x:c r="E84" s="23" t="n">
        <x:v>53.49</x:v>
      </x:c>
      <x:c r="F84" s="23" t="n">
        <x:v>22</x:v>
      </x:c>
      <x:c r="G84" s="24"/>
      <x:c r="H84" s="23" t="str">
        <x:f>IF(G84="","",D84*G84)</x:f>
      </x:c>
      <x:c r="I84" s="23" t="n">
        <x:f>IF(F84="","",D84*F84)</x:f>
        <x:v>44</x:v>
      </x:c>
      <x:c r="J84" s="23" t="str">
        <x:f>IF(OR(G84="",F84=""),"",G84-F84)</x:f>
      </x:c>
      <x:c r="K84" s="25" t="str">
        <x:f>IF(OR(G84="",G84=0,F84=""),"",J84/G84)</x:f>
      </x:c>
      <x:c r="L84" s="22"/>
      <x:c r="M84" s="22"/>
      <x:c r="N84" s="22" t="str">
        <x:v>READY_FOR_SOLVE</x:v>
      </x:c>
      <x:c r="O84" s="22" t="str">
        <x:v>投标单价待 Phase 1/2 解输出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22" t="str">
        <x:v>040205004010</x:v>
      </x:c>
      <x:c r="B85" s="22" t="str">
        <x:v>高压柜编号牌</x:v>
      </x:c>
      <x:c r="C85" s="22" t="str">
        <x:v>块</x:v>
      </x:c>
      <x:c r="D85" s="23" t="n">
        <x:v>7</x:v>
      </x:c>
      <x:c r="E85" s="23" t="n">
        <x:v>53.49</x:v>
      </x:c>
      <x:c r="F85" s="23" t="n">
        <x:v>22</x:v>
      </x:c>
      <x:c r="G85" s="24"/>
      <x:c r="H85" s="23" t="str">
        <x:f>IF(G85="","",D85*G85)</x:f>
      </x:c>
      <x:c r="I85" s="23" t="n">
        <x:f>IF(F85="","",D85*F85)</x:f>
        <x:v>154</x:v>
      </x:c>
      <x:c r="J85" s="23" t="str">
        <x:f>IF(OR(G85="",F85=""),"",G85-F85)</x:f>
      </x:c>
      <x:c r="K85" s="25" t="str">
        <x:f>IF(OR(G85="",G85=0,F85=""),"",J85/G85)</x:f>
      </x:c>
      <x:c r="L85" s="22"/>
      <x:c r="M85" s="22"/>
      <x:c r="N85" s="22" t="str">
        <x:v>READY_FOR_SOLVE</x:v>
      </x:c>
      <x:c r="O85" s="22" t="str">
        <x:v>投标单价待 Phase 1/2 解输出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22" t="str">
        <x:v>040205004011</x:v>
      </x:c>
      <x:c r="B86" s="22" t="str">
        <x:v>变压器编号牌</x:v>
      </x:c>
      <x:c r="C86" s="22" t="str">
        <x:v>块</x:v>
      </x:c>
      <x:c r="D86" s="23" t="n">
        <x:v>2</x:v>
      </x:c>
      <x:c r="E86" s="23" t="n">
        <x:v>53.49</x:v>
      </x:c>
      <x:c r="F86" s="23" t="n">
        <x:v>22</x:v>
      </x:c>
      <x:c r="G86" s="24"/>
      <x:c r="H86" s="23" t="str">
        <x:f>IF(G86="","",D86*G86)</x:f>
      </x:c>
      <x:c r="I86" s="23" t="n">
        <x:f>IF(F86="","",D86*F86)</x:f>
        <x:v>44</x:v>
      </x:c>
      <x:c r="J86" s="23" t="str">
        <x:f>IF(OR(G86="",F86=""),"",G86-F86)</x:f>
      </x:c>
      <x:c r="K86" s="25" t="str">
        <x:f>IF(OR(G86="",G86=0,F86=""),"",J86/G86)</x:f>
      </x:c>
      <x:c r="L86" s="22"/>
      <x:c r="M86" s="22"/>
      <x:c r="N86" s="22" t="str">
        <x:v>READY_FOR_SOLVE</x:v>
      </x:c>
      <x:c r="O86" s="22" t="str">
        <x:v>投标单价待 Phase 1/2 解输出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22" t="str">
        <x:v>040205004012</x:v>
      </x:c>
      <x:c r="B87" s="22" t="str">
        <x:v>低压柜编号牌</x:v>
      </x:c>
      <x:c r="C87" s="22" t="str">
        <x:v>块</x:v>
      </x:c>
      <x:c r="D87" s="23" t="n">
        <x:v>14</x:v>
      </x:c>
      <x:c r="E87" s="23" t="n">
        <x:v>53.49</x:v>
      </x:c>
      <x:c r="F87" s="23" t="n">
        <x:v>22</x:v>
      </x:c>
      <x:c r="G87" s="24"/>
      <x:c r="H87" s="23" t="str">
        <x:f>IF(G87="","",D87*G87)</x:f>
      </x:c>
      <x:c r="I87" s="23" t="n">
        <x:f>IF(F87="","",D87*F87)</x:f>
        <x:v>308</x:v>
      </x:c>
      <x:c r="J87" s="23" t="str">
        <x:f>IF(OR(G87="",F87=""),"",G87-F87)</x:f>
      </x:c>
      <x:c r="K87" s="25" t="str">
        <x:f>IF(OR(G87="",G87=0,F87=""),"",J87/G87)</x:f>
      </x:c>
      <x:c r="L87" s="22"/>
      <x:c r="M87" s="22"/>
      <x:c r="N87" s="22" t="str">
        <x:v>READY_FOR_SOLVE</x:v>
      </x:c>
      <x:c r="O87" s="22" t="str">
        <x:v>投标单价待 Phase 1/2 解输出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22" t="str">
        <x:v>040205004013</x:v>
      </x:c>
      <x:c r="B88" s="22" t="str">
        <x:v>配电房值班制度</x:v>
      </x:c>
      <x:c r="C88" s="22" t="str">
        <x:v>块</x:v>
      </x:c>
      <x:c r="D88" s="23" t="n">
        <x:v>1</x:v>
      </x:c>
      <x:c r="E88" s="23" t="n">
        <x:v>103.49</x:v>
      </x:c>
      <x:c r="F88" s="23" t="n">
        <x:v>43</x:v>
      </x:c>
      <x:c r="G88" s="24"/>
      <x:c r="H88" s="23" t="str">
        <x:f>IF(G88="","",D88*G88)</x:f>
      </x:c>
      <x:c r="I88" s="23" t="n">
        <x:f>IF(F88="","",D88*F88)</x:f>
        <x:v>43</x:v>
      </x:c>
      <x:c r="J88" s="23" t="str">
        <x:f>IF(OR(G88="",F88=""),"",G88-F88)</x:f>
      </x:c>
      <x:c r="K88" s="25" t="str">
        <x:f>IF(OR(G88="",G88=0,F88=""),"",J88/G88)</x:f>
      </x:c>
      <x:c r="L88" s="22"/>
      <x:c r="M88" s="22"/>
      <x:c r="N88" s="22" t="str">
        <x:v>READY_FOR_SOLVE</x:v>
      </x:c>
      <x:c r="O88" s="22" t="str">
        <x:v>投标单价待 Phase 1/2 解输出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22" t="str">
        <x:v>040205004014</x:v>
      </x:c>
      <x:c r="B89" s="22" t="str">
        <x:v>电器操作规程</x:v>
      </x:c>
      <x:c r="C89" s="22" t="str">
        <x:v>块</x:v>
      </x:c>
      <x:c r="D89" s="23" t="n">
        <x:v>1</x:v>
      </x:c>
      <x:c r="E89" s="23" t="n">
        <x:v>103.49</x:v>
      </x:c>
      <x:c r="F89" s="23" t="n">
        <x:v>43</x:v>
      </x:c>
      <x:c r="G89" s="24"/>
      <x:c r="H89" s="23" t="str">
        <x:f>IF(G89="","",D89*G89)</x:f>
      </x:c>
      <x:c r="I89" s="23" t="n">
        <x:f>IF(F89="","",D89*F89)</x:f>
        <x:v>43</x:v>
      </x:c>
      <x:c r="J89" s="23" t="str">
        <x:f>IF(OR(G89="",F89=""),"",G89-F89)</x:f>
      </x:c>
      <x:c r="K89" s="25" t="str">
        <x:f>IF(OR(G89="",G89=0,F89=""),"",J89/G89)</x:f>
      </x:c>
      <x:c r="L89" s="22"/>
      <x:c r="M89" s="22"/>
      <x:c r="N89" s="22" t="str">
        <x:v>READY_FOR_SOLVE</x:v>
      </x:c>
      <x:c r="O89" s="22" t="str">
        <x:v>投标单价待 Phase 1/2 解输出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22" t="str">
        <x:v>040205004015</x:v>
      </x:c>
      <x:c r="B90" s="22" t="str">
        <x:v>防火管理制度</x:v>
      </x:c>
      <x:c r="C90" s="22" t="str">
        <x:v>块</x:v>
      </x:c>
      <x:c r="D90" s="23" t="n">
        <x:v>1</x:v>
      </x:c>
      <x:c r="E90" s="23" t="n">
        <x:v>103.49</x:v>
      </x:c>
      <x:c r="F90" s="23" t="n">
        <x:v>43</x:v>
      </x:c>
      <x:c r="G90" s="24"/>
      <x:c r="H90" s="23" t="str">
        <x:f>IF(G90="","",D90*G90)</x:f>
      </x:c>
      <x:c r="I90" s="23" t="n">
        <x:f>IF(F90="","",D90*F90)</x:f>
        <x:v>43</x:v>
      </x:c>
      <x:c r="J90" s="23" t="str">
        <x:f>IF(OR(G90="",F90=""),"",G90-F90)</x:f>
      </x:c>
      <x:c r="K90" s="25" t="str">
        <x:f>IF(OR(G90="",G90=0,F90=""),"",J90/G90)</x:f>
      </x:c>
      <x:c r="L90" s="22"/>
      <x:c r="M90" s="22"/>
      <x:c r="N90" s="22" t="str">
        <x:v>READY_FOR_SOLVE</x:v>
      </x:c>
      <x:c r="O90" s="22" t="str">
        <x:v>投标单价待 Phase 1/2 解输出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22" t="str">
        <x:v>040205004016</x:v>
      </x:c>
      <x:c r="B91" s="22" t="str">
        <x:v>高压一次接线图板</x:v>
      </x:c>
      <x:c r="C91" s="22" t="str">
        <x:v>块</x:v>
      </x:c>
      <x:c r="D91" s="23" t="n">
        <x:v>1</x:v>
      </x:c>
      <x:c r="E91" s="23" t="n">
        <x:v>503.49</x:v>
      </x:c>
      <x:c r="F91" s="23" t="n">
        <x:v>214</x:v>
      </x:c>
      <x:c r="G91" s="24"/>
      <x:c r="H91" s="23" t="str">
        <x:f>IF(G91="","",D91*G91)</x:f>
      </x:c>
      <x:c r="I91" s="23" t="n">
        <x:f>IF(F91="","",D91*F91)</x:f>
        <x:v>214</x:v>
      </x:c>
      <x:c r="J91" s="23" t="str">
        <x:f>IF(OR(G91="",F91=""),"",G91-F91)</x:f>
      </x:c>
      <x:c r="K91" s="25" t="str">
        <x:f>IF(OR(G91="",G91=0,F91=""),"",J91/G91)</x:f>
      </x:c>
      <x:c r="L91" s="22"/>
      <x:c r="M91" s="22"/>
      <x:c r="N91" s="22" t="str">
        <x:v>READY_FOR_SOLVE</x:v>
      </x:c>
      <x:c r="O91" s="22" t="str">
        <x:v>投标单价待 Phase 1/2 解输出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22" t="str">
        <x:v>040205004017</x:v>
      </x:c>
      <x:c r="B92" s="22" t="str">
        <x:v>低压一次接线图板</x:v>
      </x:c>
      <x:c r="C92" s="22" t="str">
        <x:v>块</x:v>
      </x:c>
      <x:c r="D92" s="23" t="n">
        <x:v>1</x:v>
      </x:c>
      <x:c r="E92" s="23" t="n">
        <x:v>503.49</x:v>
      </x:c>
      <x:c r="F92" s="23" t="n">
        <x:v>214</x:v>
      </x:c>
      <x:c r="G92" s="24"/>
      <x:c r="H92" s="23" t="str">
        <x:f>IF(G92="","",D92*G92)</x:f>
      </x:c>
      <x:c r="I92" s="23" t="n">
        <x:f>IF(F92="","",D92*F92)</x:f>
        <x:v>214</x:v>
      </x:c>
      <x:c r="J92" s="23" t="str">
        <x:f>IF(OR(G92="",F92=""),"",G92-F92)</x:f>
      </x:c>
      <x:c r="K92" s="25" t="str">
        <x:f>IF(OR(G92="",G92=0,F92=""),"",J92/G92)</x:f>
      </x:c>
      <x:c r="L92" s="22"/>
      <x:c r="M92" s="22"/>
      <x:c r="N92" s="22" t="str">
        <x:v>READY_FOR_SOLVE</x:v>
      </x:c>
      <x:c r="O92" s="22" t="str">
        <x:v>投标单价待 Phase 1/2 解输出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2d889c03d4c4d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3.880001068115234" hidden="0" customWidth="1"/>
    <x:col min="2" max="2" width="28" hidden="0" customWidth="1"/>
    <x:col min="3" max="3" width="6.380000114440918" hidden="0" customWidth="1"/>
    <x:col min="4" max="4" width="10.5" hidden="0" customWidth="1"/>
    <x:col min="5" max="5" width="9.75" hidden="0" customWidth="1"/>
    <x:col min="6" max="6" width="15.880000114440918" hidden="0" customWidth="1"/>
    <x:col min="7" max="7" width="6.380000114440918" hidden="0" customWidth="1"/>
    <x:col min="8" max="8" width="30" hidden="0" customWidth="1"/>
  </x:cols>
  <x:sheetData>
    <x:row r="1">
      <x:c r="A1" s="2" t="str">
        <x:v>不可竞争项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来源：project_classification_table；不可竞争项与报价优化项分区展示。</x:v>
      </x:c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Item ID</x:v>
      </x:c>
      <x:c r="B4" s="8" t="str">
        <x:v>项目名称</x:v>
      </x:c>
      <x:c r="C4" s="8" t="str">
        <x:v>单位</x:v>
      </x:c>
      <x:c r="D4" s="8" t="str">
        <x:v>工程量 q0</x:v>
      </x:c>
      <x:c r="E4" s="8" t="str">
        <x:v>最高限价</x:v>
      </x:c>
      <x:c r="F4" s="8" t="str">
        <x:v>估算单项成本 c_i</x:v>
      </x:c>
      <x:c r="G4" s="8" t="str">
        <x:v>状态</x:v>
      </x:c>
      <x:c r="H4" s="8" t="str">
        <x:v>说明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/>
      <x:c r="B5" s="1" t="str">
        <x:v>当前没有已分类条目</x:v>
      </x:c>
      <x:c r="C5" s="1" t="str"/>
      <x:c r="D5" s="11"/>
      <x:c r="E5" s="11"/>
      <x:c r="F5" s="11"/>
      <x:c r="G5" s="1" t="str">
        <x:v>INFO</x:v>
      </x:c>
      <x:c r="H5" s="1" t="str">
        <x:v>不把未知项伪装成固定项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1"/>
      <x:c r="E6" s="11"/>
      <x:c r="F6" s="1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1"/>
      <x:c r="E7" s="11"/>
      <x:c r="F7" s="1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1"/>
      <x:c r="E8" s="11"/>
      <x:c r="F8" s="1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1"/>
      <x:c r="E9" s="11"/>
      <x:c r="F9" s="1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1"/>
      <x:c r="E10" s="11"/>
      <x:c r="F10" s="1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1"/>
      <x:c r="E11" s="11"/>
      <x:c r="F11" s="1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1"/>
      <x:c r="E12" s="11"/>
      <x:c r="F12" s="1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1"/>
      <x:c r="E13" s="11"/>
      <x:c r="F13" s="1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1"/>
      <x:c r="E14" s="11"/>
      <x:c r="F14" s="1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1"/>
      <x:c r="E15" s="11"/>
      <x:c r="F15" s="1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1"/>
      <x:c r="E16" s="11"/>
      <x:c r="F16" s="1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1"/>
      <x:c r="E17" s="11"/>
      <x:c r="F17" s="1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1"/>
      <x:c r="E18" s="11"/>
      <x:c r="F18" s="1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1"/>
      <x:c r="E19" s="11"/>
      <x:c r="F19" s="1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1"/>
      <x:c r="E20" s="11"/>
      <x:c r="F20" s="1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1"/>
      <x:c r="E21" s="11"/>
      <x:c r="F21" s="1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1"/>
      <x:c r="E22" s="11"/>
      <x:c r="F22" s="1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1"/>
      <x:c r="E23" s="11"/>
      <x:c r="F23" s="1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1"/>
      <x:c r="E24" s="11"/>
      <x:c r="F24" s="1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1"/>
      <x:c r="E25" s="11"/>
      <x:c r="F25" s="1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1"/>
      <x:c r="E26" s="11"/>
      <x:c r="F26" s="1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1"/>
      <x:c r="E27" s="11"/>
      <x:c r="F27" s="1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1"/>
      <x:c r="E28" s="11"/>
      <x:c r="F28" s="1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1"/>
      <x:c r="E29" s="11"/>
      <x:c r="F29" s="1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1"/>
      <x:c r="E30" s="11"/>
      <x:c r="F30" s="1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1"/>
      <x:c r="E31" s="11"/>
      <x:c r="F31" s="1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1"/>
      <x:c r="E32" s="11"/>
      <x:c r="F32" s="1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1"/>
      <x:c r="E33" s="11"/>
      <x:c r="F33" s="1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1"/>
      <x:c r="E34" s="11"/>
      <x:c r="F34" s="1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1"/>
      <x:c r="E35" s="11"/>
      <x:c r="F35" s="1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1"/>
      <x:c r="E36" s="11"/>
      <x:c r="F36" s="1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1"/>
      <x:c r="E37" s="11"/>
      <x:c r="F37" s="1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1"/>
      <x:c r="E38" s="11"/>
      <x:c r="F38" s="1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1"/>
      <x:c r="E39" s="11"/>
      <x:c r="F39" s="1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1"/>
      <x:c r="E40" s="11"/>
      <x:c r="F40" s="1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1"/>
      <x:c r="E41" s="11"/>
      <x:c r="F41" s="1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1"/>
      <x:c r="E42" s="11"/>
      <x:c r="F42" s="1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1"/>
      <x:c r="E43" s="11"/>
      <x:c r="F43" s="1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1"/>
      <x:c r="E44" s="11"/>
      <x:c r="F44" s="1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1"/>
      <x:c r="E45" s="11"/>
      <x:c r="F45" s="1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1"/>
      <x:c r="E46" s="11"/>
      <x:c r="F46" s="1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1"/>
      <x:c r="E47" s="11"/>
      <x:c r="F47" s="1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1"/>
      <x:c r="E48" s="11"/>
      <x:c r="F48" s="1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1"/>
      <x:c r="E49" s="11"/>
      <x:c r="F49" s="1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1"/>
      <x:c r="E50" s="11"/>
      <x:c r="F50" s="1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1"/>
      <x:c r="E51" s="11"/>
      <x:c r="F51" s="1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1"/>
      <x:c r="E52" s="11"/>
      <x:c r="F52" s="1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1"/>
      <x:c r="E53" s="11"/>
      <x:c r="F53" s="1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1"/>
      <x:c r="E54" s="11"/>
      <x:c r="F54" s="1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1"/>
      <x:c r="E55" s="11"/>
      <x:c r="F55" s="1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1"/>
      <x:c r="E56" s="11"/>
      <x:c r="F56" s="1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1"/>
      <x:c r="E57" s="11"/>
      <x:c r="F57" s="1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1"/>
      <x:c r="E58" s="11"/>
      <x:c r="F58" s="1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1"/>
      <x:c r="E59" s="11"/>
      <x:c r="F59" s="1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1"/>
      <x:c r="E60" s="11"/>
      <x:c r="F60" s="1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1"/>
      <x:c r="E61" s="11"/>
      <x:c r="F61" s="1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1"/>
      <x:c r="E62" s="11"/>
      <x:c r="F62" s="1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1"/>
      <x:c r="E63" s="11"/>
      <x:c r="F63" s="1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1"/>
      <x:c r="E64" s="11"/>
      <x:c r="F64" s="1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1"/>
      <x:c r="E65" s="11"/>
      <x:c r="F65" s="1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1"/>
      <x:c r="E66" s="11"/>
      <x:c r="F66" s="1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1"/>
      <x:c r="E67" s="11"/>
      <x:c r="F67" s="1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1"/>
      <x:c r="E68" s="11"/>
      <x:c r="F68" s="1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1"/>
      <x:c r="E69" s="11"/>
      <x:c r="F69" s="1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1"/>
      <x:c r="E70" s="11"/>
      <x:c r="F70" s="1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1"/>
      <x:c r="E71" s="11"/>
      <x:c r="F71" s="1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1"/>
      <x:c r="E72" s="11"/>
      <x:c r="F72" s="1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1"/>
      <x:c r="E73" s="11"/>
      <x:c r="F73" s="1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1"/>
      <x:c r="E74" s="11"/>
      <x:c r="F74" s="1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1"/>
      <x:c r="E75" s="11"/>
      <x:c r="F75" s="1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1"/>
      <x:c r="E76" s="11"/>
      <x:c r="F76" s="1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1"/>
      <x:c r="E77" s="11"/>
      <x:c r="F77" s="1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1"/>
      <x:c r="E78" s="11"/>
      <x:c r="F78" s="1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1"/>
      <x:c r="E79" s="11"/>
      <x:c r="F79" s="1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1"/>
      <x:c r="E80" s="11"/>
      <x:c r="F80" s="1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1"/>
      <x:c r="E81" s="11"/>
      <x:c r="F81" s="1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1"/>
      <x:c r="E82" s="11"/>
      <x:c r="F82" s="1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1"/>
      <x:c r="E83" s="11"/>
      <x:c r="F83" s="1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1"/>
      <x:c r="E84" s="11"/>
      <x:c r="F84" s="1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1"/>
      <x:c r="E85" s="11"/>
      <x:c r="F85" s="1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1"/>
      <x:c r="E86" s="11"/>
      <x:c r="F86" s="1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1"/>
      <x:c r="E87" s="11"/>
      <x:c r="F87" s="1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1"/>
      <x:c r="E88" s="11"/>
      <x:c r="F88" s="1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1"/>
      <x:c r="E89" s="11"/>
      <x:c r="F89" s="1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1"/>
      <x:c r="E90" s="11"/>
      <x:c r="F90" s="1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1"/>
      <x:c r="E91" s="11"/>
      <x:c r="F91" s="1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1"/>
      <x:c r="E92" s="11"/>
      <x:c r="F92" s="1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1"/>
      <x:c r="E93" s="11"/>
      <x:c r="F93" s="1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1"/>
      <x:c r="E94" s="11"/>
      <x:c r="F94" s="1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1"/>
      <x:c r="E95" s="11"/>
      <x:c r="F95" s="1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1"/>
      <x:c r="E96" s="11"/>
      <x:c r="F96" s="1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1"/>
      <x:c r="E97" s="11"/>
      <x:c r="F97" s="1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1"/>
      <x:c r="E98" s="11"/>
      <x:c r="F98" s="1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1"/>
      <x:c r="E99" s="11"/>
      <x:c r="F99" s="1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1"/>
      <x:c r="E100" s="11"/>
      <x:c r="F100" s="1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bccb7fe06d341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.630001068115234" hidden="0" customWidth="1"/>
    <x:col min="2" max="2" width="28" hidden="0" customWidth="1"/>
    <x:col min="3" max="3" width="6.380000114440918" hidden="0" customWidth="1"/>
    <x:col min="4" max="4" width="10.5" hidden="0" customWidth="1"/>
    <x:col min="5" max="5" width="9.75" hidden="0" customWidth="1"/>
    <x:col min="6" max="6" width="15.880000114440918" hidden="0" customWidth="1"/>
    <x:col min="7" max="7" width="28.5" hidden="0" customWidth="1"/>
    <x:col min="8" max="8" width="30" hidden="0" customWidth="1"/>
  </x:cols>
  <x:sheetData>
    <x:row r="1">
      <x:c r="A1" s="2" t="str">
        <x:v>固定项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当前项目没有足够证据把未知项认定为固定项；缺失成本项单独列出，等待补证。</x:v>
      </x:c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Item ID</x:v>
      </x:c>
      <x:c r="B4" s="8" t="str">
        <x:v>项目名称</x:v>
      </x:c>
      <x:c r="C4" s="8" t="str">
        <x:v>单位</x:v>
      </x:c>
      <x:c r="D4" s="8" t="str">
        <x:v>工程量 q0</x:v>
      </x:c>
      <x:c r="E4" s="8" t="str">
        <x:v>最高限价</x:v>
      </x:c>
      <x:c r="F4" s="8" t="str">
        <x:v>估算单项成本 c_i</x:v>
      </x:c>
      <x:c r="G4" s="8" t="str">
        <x:v>状态</x:v>
      </x:c>
      <x:c r="H4" s="8" t="str">
        <x:v>说明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031301017001</x:v>
      </x:c>
      <x:c r="B5" s="1" t="str">
        <x:v>脚手架搭拆</x:v>
      </x:c>
      <x:c r="C5" s="1" t="str">
        <x:v>项</x:v>
      </x:c>
      <x:c r="D5" s="11" t="n">
        <x:v>1</x:v>
      </x:c>
      <x:c r="E5" s="11"/>
      <x:c r="F5" s="11"/>
      <x:c r="G5" s="1" t="str">
        <x:v>FIXED_PENDING_CLASSIFICATION</x:v>
      </x:c>
      <x:c r="H5" s="1" t="str">
        <x:v>尚未生成求解报价，不代填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1"/>
      <x:c r="E6" s="11"/>
      <x:c r="F6" s="1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1"/>
      <x:c r="E7" s="11"/>
      <x:c r="F7" s="1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1"/>
      <x:c r="E8" s="11"/>
      <x:c r="F8" s="1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1"/>
      <x:c r="E9" s="11"/>
      <x:c r="F9" s="1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1"/>
      <x:c r="E10" s="11"/>
      <x:c r="F10" s="1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1"/>
      <x:c r="E11" s="11"/>
      <x:c r="F11" s="1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1"/>
      <x:c r="E12" s="11"/>
      <x:c r="F12" s="1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1"/>
      <x:c r="E13" s="11"/>
      <x:c r="F13" s="1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1"/>
      <x:c r="E14" s="11"/>
      <x:c r="F14" s="1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1"/>
      <x:c r="E15" s="11"/>
      <x:c r="F15" s="1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1"/>
      <x:c r="E16" s="11"/>
      <x:c r="F16" s="1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1"/>
      <x:c r="E17" s="11"/>
      <x:c r="F17" s="1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1"/>
      <x:c r="E18" s="11"/>
      <x:c r="F18" s="1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1"/>
      <x:c r="E19" s="11"/>
      <x:c r="F19" s="1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1"/>
      <x:c r="E20" s="11"/>
      <x:c r="F20" s="1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1"/>
      <x:c r="E21" s="11"/>
      <x:c r="F21" s="1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1"/>
      <x:c r="E22" s="11"/>
      <x:c r="F22" s="1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1"/>
      <x:c r="E23" s="11"/>
      <x:c r="F23" s="1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1"/>
      <x:c r="E24" s="11"/>
      <x:c r="F24" s="1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1"/>
      <x:c r="E25" s="11"/>
      <x:c r="F25" s="1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1"/>
      <x:c r="E26" s="11"/>
      <x:c r="F26" s="1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1"/>
      <x:c r="E27" s="11"/>
      <x:c r="F27" s="1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1"/>
      <x:c r="E28" s="11"/>
      <x:c r="F28" s="1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1"/>
      <x:c r="E29" s="11"/>
      <x:c r="F29" s="1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1"/>
      <x:c r="E30" s="11"/>
      <x:c r="F30" s="1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1"/>
      <x:c r="E31" s="11"/>
      <x:c r="F31" s="1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1"/>
      <x:c r="E32" s="11"/>
      <x:c r="F32" s="1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1"/>
      <x:c r="E33" s="11"/>
      <x:c r="F33" s="1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1"/>
      <x:c r="E34" s="11"/>
      <x:c r="F34" s="1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1"/>
      <x:c r="E35" s="11"/>
      <x:c r="F35" s="1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1"/>
      <x:c r="E36" s="11"/>
      <x:c r="F36" s="1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1"/>
      <x:c r="E37" s="11"/>
      <x:c r="F37" s="1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1"/>
      <x:c r="E38" s="11"/>
      <x:c r="F38" s="1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1"/>
      <x:c r="E39" s="11"/>
      <x:c r="F39" s="1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1"/>
      <x:c r="E40" s="11"/>
      <x:c r="F40" s="1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1"/>
      <x:c r="E41" s="11"/>
      <x:c r="F41" s="1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1"/>
      <x:c r="E42" s="11"/>
      <x:c r="F42" s="1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1"/>
      <x:c r="E43" s="11"/>
      <x:c r="F43" s="1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1"/>
      <x:c r="E44" s="11"/>
      <x:c r="F44" s="1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1"/>
      <x:c r="E45" s="11"/>
      <x:c r="F45" s="1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1"/>
      <x:c r="E46" s="11"/>
      <x:c r="F46" s="1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1"/>
      <x:c r="E47" s="11"/>
      <x:c r="F47" s="1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1"/>
      <x:c r="E48" s="11"/>
      <x:c r="F48" s="1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1"/>
      <x:c r="E49" s="11"/>
      <x:c r="F49" s="1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1"/>
      <x:c r="E50" s="11"/>
      <x:c r="F50" s="1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1"/>
      <x:c r="E51" s="11"/>
      <x:c r="F51" s="1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1"/>
      <x:c r="E52" s="11"/>
      <x:c r="F52" s="1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1"/>
      <x:c r="E53" s="11"/>
      <x:c r="F53" s="1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1"/>
      <x:c r="E54" s="11"/>
      <x:c r="F54" s="1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1"/>
      <x:c r="E55" s="11"/>
      <x:c r="F55" s="1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1"/>
      <x:c r="E56" s="11"/>
      <x:c r="F56" s="1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1"/>
      <x:c r="E57" s="11"/>
      <x:c r="F57" s="1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1"/>
      <x:c r="E58" s="11"/>
      <x:c r="F58" s="1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1"/>
      <x:c r="E59" s="11"/>
      <x:c r="F59" s="1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1"/>
      <x:c r="E60" s="11"/>
      <x:c r="F60" s="1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1"/>
      <x:c r="E61" s="11"/>
      <x:c r="F61" s="1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1"/>
      <x:c r="E62" s="11"/>
      <x:c r="F62" s="1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1"/>
      <x:c r="E63" s="11"/>
      <x:c r="F63" s="1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1"/>
      <x:c r="E64" s="11"/>
      <x:c r="F64" s="1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1"/>
      <x:c r="E65" s="11"/>
      <x:c r="F65" s="1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1"/>
      <x:c r="E66" s="11"/>
      <x:c r="F66" s="1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1"/>
      <x:c r="E67" s="11"/>
      <x:c r="F67" s="1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1"/>
      <x:c r="E68" s="11"/>
      <x:c r="F68" s="1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1"/>
      <x:c r="E69" s="11"/>
      <x:c r="F69" s="1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1"/>
      <x:c r="E70" s="11"/>
      <x:c r="F70" s="1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1"/>
      <x:c r="E71" s="11"/>
      <x:c r="F71" s="1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1"/>
      <x:c r="E72" s="11"/>
      <x:c r="F72" s="1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1"/>
      <x:c r="E73" s="11"/>
      <x:c r="F73" s="1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1"/>
      <x:c r="E74" s="11"/>
      <x:c r="F74" s="1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1"/>
      <x:c r="E75" s="11"/>
      <x:c r="F75" s="1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1"/>
      <x:c r="E76" s="11"/>
      <x:c r="F76" s="1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1"/>
      <x:c r="E77" s="11"/>
      <x:c r="F77" s="1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1"/>
      <x:c r="E78" s="11"/>
      <x:c r="F78" s="1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1"/>
      <x:c r="E79" s="11"/>
      <x:c r="F79" s="1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1"/>
      <x:c r="E80" s="11"/>
      <x:c r="F80" s="1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1"/>
      <x:c r="E81" s="11"/>
      <x:c r="F81" s="1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1"/>
      <x:c r="E82" s="11"/>
      <x:c r="F82" s="1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1"/>
      <x:c r="E83" s="11"/>
      <x:c r="F83" s="1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1"/>
      <x:c r="E84" s="11"/>
      <x:c r="F84" s="1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1"/>
      <x:c r="E85" s="11"/>
      <x:c r="F85" s="1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1"/>
      <x:c r="E86" s="11"/>
      <x:c r="F86" s="1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1"/>
      <x:c r="E87" s="11"/>
      <x:c r="F87" s="1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1"/>
      <x:c r="E88" s="11"/>
      <x:c r="F88" s="1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1"/>
      <x:c r="E89" s="11"/>
      <x:c r="F89" s="1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1"/>
      <x:c r="E90" s="11"/>
      <x:c r="F90" s="1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1"/>
      <x:c r="E91" s="11"/>
      <x:c r="F91" s="1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1"/>
      <x:c r="E92" s="11"/>
      <x:c r="F92" s="1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1"/>
      <x:c r="E93" s="11"/>
      <x:c r="F93" s="1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1"/>
      <x:c r="E94" s="11"/>
      <x:c r="F94" s="1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1"/>
      <x:c r="E95" s="11"/>
      <x:c r="F95" s="1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1"/>
      <x:c r="E96" s="11"/>
      <x:c r="F96" s="1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1"/>
      <x:c r="E97" s="11"/>
      <x:c r="F97" s="1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1"/>
      <x:c r="E98" s="11"/>
      <x:c r="F98" s="1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1"/>
      <x:c r="E99" s="11"/>
      <x:c r="F99" s="1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1"/>
      <x:c r="E100" s="11"/>
      <x:c r="F100" s="1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37e72a7f7ef47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>
      <x:c r="A1" s="2" t="str">
        <x:v>说明</x:v>
      </x:c>
      <x:c r="B1" s="2"/>
      <x:c r="C1" s="2"/>
      <x:c r="D1" s="2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 t="str">
        <x:v>字段</x:v>
      </x:c>
      <x:c r="B3" s="8" t="str">
        <x:v>口径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0" t="str">
        <x:v>投标单价</x:v>
      </x:c>
      <x:c r="B4" s="20" t="str">
        <x:v>黄色单元格为人工/求解结果输入；本工作簿不代填报价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0" t="str">
        <x:v>r_eff / 层归属</x:v>
      </x:c>
      <x:c r="B5" s="20" t="str">
        <x:v>待 Phase 1/2 求解输出后回填，当前留空不伪造结论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0" t="str">
        <x:v>估算单项成本 c_i</x:v>
      </x:c>
      <x:c r="B6" s="20" t="str">
        <x:v>来自成本清单；缺失时状态为 COST_REQUIRED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0" t="str">
        <x:v>不可竞争项</x:v>
      </x:c>
      <x:c r="B7" s="20" t="str">
        <x:v>仅按 project_classification_table 已明确的 pass_through 项进入该页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0" t="str">
        <x:v>固定项</x:v>
      </x:c>
      <x:c r="B8" s="20" t="str">
        <x:v>未知分类不自动归入固定项，避免把缺证据当作固定项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0" t="str">
        <x:v>公式</x:v>
      </x:c>
      <x:c r="B9" s="20" t="str">
        <x:v>合价、成本合价、毛利、毛利率均由报价表公式计算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0" t="str">
        <x:v>来源文件</x:v>
      </x:c>
      <x:c r="B10" s="20" t="str">
        <x:v>docs/matched/xiyong_l_district/match_report.json；config/project_classification_table.json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D1"/>
  </x:mergeCells>
  <x:pageMargins left="0.7" right="0.7" top="0.75" bottom="0.75" header="0.3" footer="0.3"/>
</x:worksheet>
</file>